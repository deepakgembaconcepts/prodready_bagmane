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D79C4691-1430-495C-8AFD-962A07F632CB}" xr6:coauthVersionLast="47" xr6:coauthVersionMax="47" xr10:uidLastSave="{00000000-0000-0000-0000-000000000000}"/>
  <bookViews>
    <workbookView xWindow="-110" yWindow="-110" windowWidth="19420" windowHeight="10300" xr2:uid="{00000000-000D-0000-FFFF-FFFF00000000}"/>
  </bookViews>
  <sheets>
    <sheet name="Building" sheetId="1" r:id="rId1"/>
    <sheet name="Document - Reference" sheetId="3" r:id="rId2"/>
  </sheets>
  <definedNames>
    <definedName name="_xlnm.Print_Area" localSheetId="0">Building!$A$1:$I$354</definedName>
    <definedName name="_xlnm.Print_Titles" localSheetId="0">Building!$1:$5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 l="1"/>
  <c r="G321" i="1" l="1"/>
  <c r="D321" i="1"/>
  <c r="G309" i="1"/>
  <c r="D309" i="1"/>
  <c r="G308" i="1"/>
  <c r="D308" i="1"/>
  <c r="G307" i="1"/>
  <c r="D307" i="1"/>
  <c r="G306" i="1"/>
  <c r="D306" i="1"/>
  <c r="G296" i="1"/>
  <c r="D296" i="1"/>
  <c r="G295" i="1"/>
  <c r="D295" i="1"/>
  <c r="G294" i="1"/>
  <c r="D294" i="1"/>
  <c r="G293" i="1"/>
  <c r="D293" i="1"/>
  <c r="G292" i="1"/>
  <c r="D292" i="1"/>
  <c r="G291" i="1"/>
  <c r="D291" i="1"/>
  <c r="G290" i="1"/>
  <c r="D290" i="1"/>
  <c r="G289" i="1"/>
  <c r="D289" i="1"/>
  <c r="G288" i="1"/>
  <c r="D288" i="1"/>
  <c r="G287" i="1"/>
  <c r="D287" i="1"/>
  <c r="G286" i="1"/>
  <c r="D286" i="1"/>
  <c r="G285" i="1"/>
  <c r="D285" i="1"/>
  <c r="G284" i="1"/>
  <c r="D284" i="1"/>
  <c r="G280" i="1"/>
  <c r="D280" i="1"/>
  <c r="G279" i="1"/>
  <c r="D279" i="1"/>
  <c r="G278" i="1"/>
  <c r="D278" i="1"/>
  <c r="G277" i="1"/>
  <c r="D277" i="1"/>
  <c r="G276" i="1"/>
  <c r="D276" i="1"/>
  <c r="G275" i="1"/>
  <c r="D275" i="1"/>
  <c r="G274" i="1"/>
  <c r="D274" i="1"/>
  <c r="G273" i="1"/>
  <c r="D273" i="1"/>
  <c r="G272" i="1"/>
  <c r="D272" i="1"/>
  <c r="G271" i="1"/>
  <c r="D271" i="1"/>
  <c r="G270" i="1"/>
  <c r="D270" i="1"/>
  <c r="G264" i="1"/>
  <c r="D264" i="1"/>
  <c r="G263" i="1"/>
  <c r="D263" i="1"/>
  <c r="G259" i="1"/>
  <c r="D259" i="1"/>
  <c r="G239" i="1"/>
  <c r="D239" i="1"/>
  <c r="G238" i="1"/>
  <c r="D238" i="1"/>
  <c r="G235" i="1"/>
  <c r="D235" i="1"/>
  <c r="G234" i="1"/>
  <c r="D234" i="1"/>
  <c r="G233" i="1"/>
  <c r="D233" i="1"/>
  <c r="G232" i="1"/>
  <c r="D232" i="1"/>
  <c r="G231" i="1"/>
  <c r="D231" i="1"/>
  <c r="G230" i="1"/>
  <c r="D230" i="1"/>
  <c r="G229" i="1"/>
  <c r="D229" i="1"/>
  <c r="G228" i="1"/>
  <c r="D228" i="1"/>
  <c r="G227" i="1"/>
  <c r="D227" i="1"/>
  <c r="G226" i="1"/>
  <c r="D226" i="1"/>
  <c r="G225" i="1"/>
  <c r="D225" i="1"/>
  <c r="G199" i="1"/>
  <c r="D199" i="1"/>
  <c r="G198" i="1"/>
  <c r="D198" i="1"/>
  <c r="G197" i="1"/>
  <c r="D197" i="1"/>
  <c r="G196" i="1"/>
  <c r="D196" i="1"/>
  <c r="G194" i="1"/>
  <c r="D194" i="1"/>
  <c r="G192" i="1"/>
  <c r="D192" i="1"/>
  <c r="G159" i="1"/>
  <c r="D159" i="1"/>
  <c r="G156" i="1"/>
  <c r="D156" i="1"/>
  <c r="G148" i="1"/>
  <c r="D148" i="1"/>
  <c r="G144" i="1"/>
  <c r="D144" i="1"/>
  <c r="G143" i="1"/>
  <c r="D143" i="1"/>
  <c r="G132" i="1"/>
  <c r="D132" i="1"/>
  <c r="G70" i="1"/>
  <c r="D70" i="1"/>
  <c r="D109" i="1" l="1"/>
  <c r="G109" i="1"/>
  <c r="G105" i="1"/>
  <c r="D105" i="1"/>
  <c r="G104" i="1"/>
  <c r="D104" i="1"/>
  <c r="G103" i="1"/>
  <c r="D103" i="1"/>
  <c r="G102" i="1"/>
  <c r="D102" i="1"/>
  <c r="G89" i="1"/>
  <c r="D89" i="1"/>
  <c r="G79" i="1"/>
  <c r="D79" i="1"/>
  <c r="G74" i="1"/>
  <c r="D74" i="1"/>
  <c r="G59" i="1"/>
  <c r="D59" i="1"/>
  <c r="G48" i="1"/>
  <c r="D48" i="1"/>
  <c r="G29" i="1"/>
  <c r="D29" i="1"/>
  <c r="G49" i="1"/>
  <c r="D49" i="1"/>
  <c r="G30" i="1"/>
  <c r="D30" i="1"/>
  <c r="G45" i="1" l="1"/>
  <c r="D45" i="1"/>
  <c r="G44" i="1"/>
  <c r="D44" i="1"/>
  <c r="G43" i="1"/>
  <c r="D43" i="1"/>
  <c r="G42" i="1"/>
  <c r="D42" i="1"/>
  <c r="G41" i="1"/>
  <c r="D41" i="1"/>
  <c r="G40" i="1"/>
  <c r="D40" i="1"/>
  <c r="G39" i="1"/>
  <c r="D39" i="1"/>
  <c r="G38" i="1"/>
  <c r="D38" i="1"/>
  <c r="G37" i="1"/>
  <c r="D37" i="1"/>
  <c r="G36" i="1"/>
  <c r="D36" i="1"/>
  <c r="G35" i="1"/>
  <c r="D35" i="1"/>
  <c r="G34" i="1"/>
  <c r="D34" i="1"/>
  <c r="G33" i="1"/>
  <c r="D33" i="1"/>
  <c r="G32" i="1"/>
  <c r="D32" i="1"/>
  <c r="G31" i="1"/>
  <c r="D31" i="1"/>
  <c r="G28" i="1"/>
  <c r="D28" i="1"/>
  <c r="G27" i="1"/>
  <c r="D27" i="1"/>
  <c r="G26" i="1"/>
  <c r="D26" i="1"/>
  <c r="G15" i="1"/>
  <c r="D15" i="1"/>
  <c r="G14" i="1"/>
  <c r="D14" i="1"/>
  <c r="G13" i="1"/>
  <c r="D13" i="1"/>
  <c r="G12" i="1"/>
  <c r="D12" i="1"/>
  <c r="G11" i="1"/>
  <c r="D11" i="1"/>
  <c r="G10" i="1"/>
  <c r="D10" i="1"/>
  <c r="G9" i="1"/>
  <c r="D9" i="1"/>
  <c r="G8" i="1"/>
  <c r="D8" i="1"/>
  <c r="G7" i="1"/>
  <c r="G6" i="1"/>
  <c r="D6" i="1"/>
  <c r="G224" i="1"/>
  <c r="D224" i="1"/>
  <c r="G223" i="1"/>
  <c r="D223" i="1"/>
  <c r="G222" i="1"/>
  <c r="D222" i="1"/>
  <c r="G221" i="1"/>
  <c r="D221" i="1"/>
  <c r="G220" i="1"/>
  <c r="D220" i="1"/>
  <c r="G219" i="1"/>
  <c r="D219" i="1"/>
  <c r="G218" i="1"/>
  <c r="D218" i="1"/>
  <c r="G217" i="1"/>
  <c r="D217" i="1"/>
  <c r="G216" i="1"/>
  <c r="D216" i="1"/>
  <c r="G215" i="1"/>
  <c r="D215" i="1"/>
  <c r="G214" i="1"/>
  <c r="D214" i="1"/>
  <c r="G213" i="1"/>
  <c r="D213" i="1"/>
  <c r="G212" i="1"/>
  <c r="D212" i="1"/>
  <c r="G211" i="1"/>
  <c r="D211" i="1"/>
  <c r="G210" i="1"/>
  <c r="D210" i="1"/>
  <c r="G209" i="1"/>
  <c r="D209" i="1"/>
  <c r="G208" i="1"/>
  <c r="D208" i="1"/>
  <c r="G207" i="1"/>
  <c r="D207" i="1"/>
  <c r="G206" i="1"/>
  <c r="D206" i="1"/>
  <c r="G205" i="1"/>
  <c r="D205" i="1"/>
  <c r="G204" i="1"/>
  <c r="D204" i="1"/>
  <c r="G203" i="1"/>
  <c r="D203" i="1"/>
  <c r="G202" i="1"/>
  <c r="D202" i="1"/>
  <c r="G201" i="1"/>
  <c r="D201" i="1"/>
  <c r="G269" i="1"/>
  <c r="D269" i="1"/>
  <c r="G268" i="1"/>
  <c r="D268" i="1"/>
  <c r="G267" i="1"/>
  <c r="D267" i="1"/>
  <c r="G266" i="1"/>
  <c r="D266" i="1"/>
  <c r="G137" i="1"/>
  <c r="D137" i="1"/>
  <c r="G136" i="1"/>
  <c r="D136" i="1"/>
  <c r="G135" i="1"/>
  <c r="D135" i="1"/>
  <c r="G134" i="1"/>
  <c r="D134" i="1"/>
  <c r="G133" i="1"/>
  <c r="D133" i="1"/>
  <c r="G131" i="1"/>
  <c r="D131" i="1"/>
  <c r="G281" i="1"/>
  <c r="D281" i="1"/>
  <c r="G200" i="1"/>
  <c r="D200" i="1"/>
  <c r="G195" i="1"/>
  <c r="D195" i="1"/>
  <c r="G193" i="1"/>
  <c r="D193" i="1"/>
  <c r="G191" i="1"/>
  <c r="D191" i="1"/>
  <c r="G190" i="1"/>
  <c r="D190" i="1"/>
  <c r="G189" i="1"/>
  <c r="D189" i="1"/>
  <c r="G188" i="1"/>
  <c r="D188" i="1"/>
  <c r="G187" i="1"/>
  <c r="D187" i="1"/>
  <c r="G186" i="1"/>
  <c r="D186" i="1"/>
  <c r="D16" i="1" l="1"/>
  <c r="G16" i="1"/>
  <c r="D17" i="1"/>
  <c r="G17" i="1"/>
  <c r="D18" i="1"/>
  <c r="G18" i="1"/>
  <c r="D19" i="1"/>
  <c r="G19" i="1"/>
  <c r="D20" i="1"/>
  <c r="G20" i="1"/>
  <c r="D21" i="1"/>
  <c r="G21" i="1"/>
  <c r="D22" i="1"/>
  <c r="G22" i="1"/>
  <c r="D23" i="1"/>
  <c r="G23" i="1"/>
  <c r="D24" i="1"/>
  <c r="G24" i="1"/>
  <c r="D25" i="1"/>
  <c r="G25" i="1"/>
  <c r="D46" i="1"/>
  <c r="G46" i="1"/>
  <c r="D47" i="1"/>
  <c r="G47" i="1"/>
  <c r="D50" i="1"/>
  <c r="G50" i="1"/>
  <c r="D51" i="1"/>
  <c r="G51" i="1"/>
  <c r="D52" i="1"/>
  <c r="G52" i="1"/>
  <c r="D53" i="1"/>
  <c r="G53" i="1"/>
  <c r="D54" i="1"/>
  <c r="G54" i="1"/>
  <c r="D55" i="1"/>
  <c r="G55" i="1"/>
  <c r="D86" i="1"/>
  <c r="G86" i="1"/>
  <c r="D87" i="1"/>
  <c r="G87" i="1"/>
  <c r="D88" i="1"/>
  <c r="G88" i="1"/>
  <c r="D90" i="1"/>
  <c r="G90" i="1"/>
  <c r="D91" i="1"/>
  <c r="G91" i="1"/>
  <c r="D92" i="1"/>
  <c r="G92" i="1"/>
  <c r="D93" i="1"/>
  <c r="G93" i="1"/>
  <c r="D94" i="1"/>
  <c r="G94" i="1"/>
  <c r="D95" i="1"/>
  <c r="G95" i="1"/>
  <c r="D96" i="1"/>
  <c r="G96" i="1"/>
  <c r="D97" i="1"/>
  <c r="G97" i="1"/>
  <c r="D98" i="1"/>
  <c r="G98" i="1"/>
  <c r="D99" i="1"/>
  <c r="G99" i="1"/>
  <c r="D100" i="1"/>
  <c r="G100" i="1"/>
  <c r="D101" i="1"/>
  <c r="G101" i="1"/>
  <c r="D106" i="1"/>
  <c r="G106" i="1"/>
  <c r="D107" i="1"/>
  <c r="G107" i="1"/>
  <c r="D108" i="1"/>
  <c r="G108" i="1"/>
  <c r="D110" i="1"/>
  <c r="G110" i="1"/>
  <c r="D111" i="1"/>
  <c r="G111" i="1"/>
  <c r="D112" i="1"/>
  <c r="G112" i="1"/>
  <c r="D113" i="1"/>
  <c r="G113" i="1"/>
  <c r="D114" i="1"/>
  <c r="G114" i="1"/>
  <c r="D115" i="1"/>
  <c r="G115" i="1"/>
  <c r="D116" i="1"/>
  <c r="G116" i="1"/>
  <c r="D117" i="1"/>
  <c r="G117" i="1"/>
  <c r="D118" i="1"/>
  <c r="G118" i="1"/>
  <c r="D119" i="1"/>
  <c r="G119" i="1"/>
  <c r="D120" i="1"/>
  <c r="G120" i="1"/>
  <c r="D121" i="1"/>
  <c r="G121" i="1"/>
  <c r="D122" i="1"/>
  <c r="G122" i="1"/>
  <c r="D123" i="1"/>
  <c r="G123" i="1"/>
  <c r="D124" i="1"/>
  <c r="G124" i="1"/>
  <c r="D125" i="1"/>
  <c r="G125" i="1"/>
  <c r="D126" i="1"/>
  <c r="G126" i="1"/>
  <c r="D127" i="1"/>
  <c r="G127" i="1"/>
  <c r="D128" i="1"/>
  <c r="G128" i="1"/>
  <c r="D129" i="1"/>
  <c r="G129" i="1"/>
  <c r="D130" i="1"/>
  <c r="G130" i="1"/>
  <c r="D71" i="1"/>
  <c r="G71" i="1"/>
  <c r="D72" i="1"/>
  <c r="G72" i="1"/>
  <c r="D73" i="1"/>
  <c r="G73" i="1"/>
  <c r="D75" i="1"/>
  <c r="G75" i="1"/>
  <c r="D76" i="1"/>
  <c r="G76" i="1"/>
  <c r="D77" i="1"/>
  <c r="G77" i="1"/>
  <c r="D78" i="1"/>
  <c r="G78" i="1"/>
  <c r="D80" i="1"/>
  <c r="G80" i="1"/>
  <c r="D81" i="1"/>
  <c r="G81" i="1"/>
  <c r="D82" i="1"/>
  <c r="G82" i="1"/>
  <c r="D83" i="1"/>
  <c r="G83" i="1"/>
  <c r="D84" i="1"/>
  <c r="G84" i="1"/>
  <c r="D85" i="1"/>
  <c r="G85" i="1"/>
  <c r="D56" i="1"/>
  <c r="G56" i="1"/>
  <c r="D57" i="1"/>
  <c r="G57" i="1"/>
  <c r="D58" i="1"/>
  <c r="G58" i="1"/>
  <c r="D60" i="1"/>
  <c r="G60" i="1"/>
  <c r="D61" i="1"/>
  <c r="G61" i="1"/>
  <c r="D62" i="1"/>
  <c r="G62" i="1"/>
  <c r="D63" i="1"/>
  <c r="G63" i="1"/>
  <c r="D64" i="1"/>
  <c r="G64" i="1"/>
  <c r="D65" i="1"/>
  <c r="G65" i="1"/>
  <c r="D66" i="1"/>
  <c r="G66" i="1"/>
  <c r="D67" i="1"/>
  <c r="G67" i="1"/>
  <c r="D68" i="1"/>
  <c r="G68" i="1"/>
  <c r="D69" i="1"/>
  <c r="G69" i="1"/>
  <c r="D155" i="1"/>
  <c r="G155" i="1"/>
  <c r="D157" i="1"/>
  <c r="G157" i="1"/>
  <c r="D158" i="1"/>
  <c r="G158" i="1"/>
  <c r="D141" i="1"/>
  <c r="G141" i="1"/>
  <c r="D142" i="1"/>
  <c r="G142" i="1"/>
  <c r="D145" i="1"/>
  <c r="G145" i="1"/>
  <c r="D146" i="1"/>
  <c r="G146" i="1"/>
  <c r="D138" i="1"/>
  <c r="G138" i="1"/>
  <c r="D139" i="1"/>
  <c r="G139" i="1"/>
  <c r="D140" i="1"/>
  <c r="G140" i="1"/>
  <c r="D151" i="1"/>
  <c r="G151" i="1"/>
  <c r="D152" i="1"/>
  <c r="G152" i="1"/>
  <c r="D153" i="1"/>
  <c r="G153" i="1"/>
  <c r="D154" i="1"/>
  <c r="G154" i="1"/>
  <c r="D160" i="1"/>
  <c r="G160" i="1"/>
  <c r="D161" i="1"/>
  <c r="G161" i="1"/>
  <c r="D162" i="1"/>
  <c r="G162" i="1"/>
  <c r="D163" i="1"/>
  <c r="G163" i="1"/>
  <c r="D164" i="1"/>
  <c r="G164" i="1"/>
  <c r="D165" i="1"/>
  <c r="G165" i="1"/>
  <c r="D166" i="1"/>
  <c r="G166" i="1"/>
  <c r="D167" i="1"/>
  <c r="G167" i="1"/>
  <c r="D168" i="1"/>
  <c r="G168" i="1"/>
  <c r="D169" i="1"/>
  <c r="G169" i="1"/>
  <c r="D170" i="1"/>
  <c r="G170" i="1"/>
  <c r="D171" i="1"/>
  <c r="G171" i="1"/>
  <c r="D172" i="1"/>
  <c r="G172" i="1"/>
  <c r="D173" i="1"/>
  <c r="G173" i="1"/>
  <c r="D174" i="1"/>
  <c r="G174" i="1"/>
  <c r="D175" i="1"/>
  <c r="G175" i="1"/>
  <c r="D176" i="1"/>
  <c r="G176" i="1"/>
  <c r="D177" i="1"/>
  <c r="G177" i="1"/>
  <c r="D178" i="1"/>
  <c r="G178" i="1"/>
  <c r="D179" i="1"/>
  <c r="G179" i="1"/>
  <c r="D180" i="1"/>
  <c r="G180" i="1"/>
  <c r="D181" i="1"/>
  <c r="G181" i="1"/>
  <c r="D182" i="1"/>
  <c r="G182" i="1"/>
  <c r="D183" i="1"/>
  <c r="G183" i="1"/>
  <c r="D184" i="1"/>
  <c r="G184" i="1"/>
  <c r="D185" i="1"/>
  <c r="G185" i="1"/>
  <c r="D147" i="1"/>
  <c r="G147" i="1"/>
  <c r="D149" i="1"/>
  <c r="G149" i="1"/>
  <c r="D150" i="1"/>
  <c r="G150" i="1"/>
  <c r="D236" i="1"/>
  <c r="G236" i="1"/>
  <c r="D237" i="1"/>
  <c r="G237" i="1"/>
  <c r="D240" i="1"/>
  <c r="G240" i="1"/>
  <c r="D241" i="1"/>
  <c r="G241" i="1"/>
  <c r="D242" i="1"/>
  <c r="G242" i="1"/>
  <c r="D243" i="1"/>
  <c r="G243" i="1"/>
  <c r="D244" i="1"/>
  <c r="G244" i="1"/>
  <c r="D245" i="1"/>
  <c r="G245" i="1"/>
  <c r="D246" i="1"/>
  <c r="G246" i="1"/>
  <c r="D247" i="1"/>
  <c r="G247" i="1"/>
  <c r="D248" i="1"/>
  <c r="G248" i="1"/>
  <c r="D249" i="1"/>
  <c r="G249" i="1"/>
  <c r="D250" i="1"/>
  <c r="G250" i="1"/>
  <c r="D251" i="1"/>
  <c r="G251" i="1"/>
  <c r="D252" i="1"/>
  <c r="G252" i="1"/>
  <c r="D253" i="1"/>
  <c r="G253" i="1"/>
  <c r="D254" i="1"/>
  <c r="G254" i="1"/>
  <c r="D255" i="1"/>
  <c r="G255" i="1"/>
  <c r="D256" i="1"/>
  <c r="G256" i="1"/>
  <c r="D257" i="1"/>
  <c r="G257" i="1"/>
  <c r="D258" i="1"/>
  <c r="G258" i="1"/>
  <c r="D260" i="1"/>
  <c r="G260" i="1"/>
  <c r="D261" i="1"/>
  <c r="G261" i="1"/>
  <c r="D262" i="1"/>
  <c r="G262" i="1"/>
  <c r="D265" i="1"/>
  <c r="G265" i="1"/>
  <c r="D282" i="1"/>
  <c r="G282" i="1"/>
  <c r="D283" i="1"/>
  <c r="G283" i="1"/>
  <c r="D297" i="1"/>
  <c r="G297" i="1"/>
  <c r="D298" i="1"/>
  <c r="G298" i="1"/>
  <c r="D299" i="1"/>
  <c r="G299" i="1"/>
  <c r="D300" i="1"/>
  <c r="G300" i="1"/>
  <c r="D301" i="1"/>
  <c r="G301" i="1"/>
  <c r="D302" i="1"/>
  <c r="G302" i="1"/>
  <c r="D303" i="1"/>
  <c r="G303" i="1"/>
  <c r="D304" i="1"/>
  <c r="G304" i="1"/>
  <c r="D305" i="1"/>
  <c r="G305" i="1"/>
  <c r="D310" i="1"/>
  <c r="G310" i="1"/>
  <c r="D311" i="1"/>
  <c r="G311" i="1"/>
  <c r="D312" i="1"/>
  <c r="G312" i="1"/>
  <c r="D313" i="1"/>
  <c r="G313" i="1"/>
  <c r="D314" i="1"/>
  <c r="G314" i="1"/>
  <c r="D315" i="1"/>
  <c r="G315" i="1"/>
  <c r="D316" i="1"/>
  <c r="G316" i="1"/>
  <c r="D317" i="1"/>
  <c r="G317" i="1"/>
  <c r="D318" i="1"/>
  <c r="G318" i="1"/>
  <c r="D319" i="1"/>
  <c r="G319" i="1"/>
  <c r="D320" i="1"/>
  <c r="G320" i="1"/>
  <c r="D322" i="1"/>
  <c r="G322" i="1"/>
  <c r="D323" i="1"/>
  <c r="G323" i="1"/>
  <c r="D324" i="1"/>
  <c r="G324" i="1"/>
  <c r="D325" i="1"/>
  <c r="G325" i="1"/>
  <c r="D326" i="1"/>
  <c r="G326" i="1"/>
  <c r="D327" i="1"/>
  <c r="G327" i="1"/>
  <c r="D328" i="1"/>
  <c r="G328" i="1"/>
  <c r="D329" i="1"/>
  <c r="G329" i="1"/>
  <c r="D330" i="1"/>
  <c r="G330" i="1"/>
  <c r="G331" i="1" l="1"/>
  <c r="D331" i="1"/>
  <c r="I331" i="1" s="1"/>
</calcChain>
</file>

<file path=xl/sharedStrings.xml><?xml version="1.0" encoding="utf-8"?>
<sst xmlns="http://schemas.openxmlformats.org/spreadsheetml/2006/main" count="1514" uniqueCount="550">
  <si>
    <t>Audit Conducted By:</t>
  </si>
  <si>
    <t>Auditee Name:</t>
  </si>
  <si>
    <t>Audit Number:</t>
  </si>
  <si>
    <t>Sl. No.</t>
  </si>
  <si>
    <t>Description</t>
  </si>
  <si>
    <t>Observation</t>
  </si>
  <si>
    <t>External Area</t>
  </si>
  <si>
    <t xml:space="preserve">Boom barrier condition </t>
  </si>
  <si>
    <t xml:space="preserve">Storage of unwanted material and scrap/ debris </t>
  </si>
  <si>
    <t>Section / Area</t>
  </si>
  <si>
    <t xml:space="preserve">Basement &amp; covered parking areas </t>
  </si>
  <si>
    <t xml:space="preserve">Physical inspection for cleanliness </t>
  </si>
  <si>
    <t>Availability of extinguishers</t>
  </si>
  <si>
    <t xml:space="preserve">Parking slot marking / numbering / Identification </t>
  </si>
  <si>
    <t>Transformer yard</t>
  </si>
  <si>
    <t>Physical inspection of yard, transformers and panels</t>
  </si>
  <si>
    <t>HSD yard</t>
  </si>
  <si>
    <t>Physical inspection of the yard and equipment</t>
  </si>
  <si>
    <t xml:space="preserve">DG Room </t>
  </si>
  <si>
    <t>Physical inspection of room and DG sets for cleanliness</t>
  </si>
  <si>
    <t>LT Room</t>
  </si>
  <si>
    <t>Physical inspection of room and panels for cleanliness</t>
  </si>
  <si>
    <t xml:space="preserve">STP Room </t>
  </si>
  <si>
    <t>Physical inspection of room and equipment for cleanliness</t>
  </si>
  <si>
    <t xml:space="preserve">Inspect grease trap </t>
  </si>
  <si>
    <t xml:space="preserve">Inspect healthiness of fresh air &amp; exhaust system </t>
  </si>
  <si>
    <t>Pump room</t>
  </si>
  <si>
    <t xml:space="preserve">All fire pumps to be in auto mode </t>
  </si>
  <si>
    <t xml:space="preserve">Check for fault &amp; alarm condition </t>
  </si>
  <si>
    <t xml:space="preserve">Chiller Plant </t>
  </si>
  <si>
    <t>BMS Room</t>
  </si>
  <si>
    <t xml:space="preserve">Lift Machine Room </t>
  </si>
  <si>
    <t xml:space="preserve">Fresh air, Exhaust fans </t>
  </si>
  <si>
    <t>Physical inspection and status</t>
  </si>
  <si>
    <t xml:space="preserve">CCTV System </t>
  </si>
  <si>
    <t xml:space="preserve">Check the system, all camera should be in working condition </t>
  </si>
  <si>
    <t>Garbage/ OWC rooms</t>
  </si>
  <si>
    <t>Physical inspection of room for cleanliness</t>
  </si>
  <si>
    <t xml:space="preserve">OWC condition </t>
  </si>
  <si>
    <t xml:space="preserve">Condition of sanitary and CP fixtures </t>
  </si>
  <si>
    <t xml:space="preserve">Cleanliness and lighting </t>
  </si>
  <si>
    <t xml:space="preserve">Miscellaneous </t>
  </si>
  <si>
    <t xml:space="preserve">Check portable extinguishers randomly and ensure inspection tag is updated </t>
  </si>
  <si>
    <t>Physical condition of ERT station and availability of materials</t>
  </si>
  <si>
    <t>Mock Drill Reports and status of observations along with corrective actions taken</t>
  </si>
  <si>
    <t>Date of Audit:</t>
  </si>
  <si>
    <t xml:space="preserve">Toilet </t>
  </si>
  <si>
    <t xml:space="preserve">Hazardous/ E-waste room </t>
  </si>
  <si>
    <t>Spill Kit availability with all materials and tracker</t>
  </si>
  <si>
    <t>Check for any Unsafe Acts, Unsafe Conditions, near misses/ incidents and actions taken on the reported cases</t>
  </si>
  <si>
    <t>Signage conditions</t>
  </si>
  <si>
    <t>Auditor:</t>
  </si>
  <si>
    <t>Signatures (with Name Date &amp; Time):</t>
  </si>
  <si>
    <t>Auditee:</t>
  </si>
  <si>
    <t>Recommendations / Remarks</t>
  </si>
  <si>
    <t>Check work permits randomly for proper filling and closure with all required related documents, reports, registers, trackers, risk assessment (JSA) maintained and LOTOTO procedure followed</t>
  </si>
  <si>
    <t>Physical inspection of all stair cases &amp; terrace</t>
  </si>
  <si>
    <t>Manpower availability after crosschecking with register (Technical , Security, Housekeeping, Gardeners, STP Operator, Fire Technicians,etc..)</t>
  </si>
  <si>
    <t xml:space="preserve">Display Hazardous/ E-Waste consent &amp; availability of Statutory forms to be checked </t>
  </si>
  <si>
    <t>Reports and Trackers availability</t>
  </si>
  <si>
    <t>Display of Form-8 on each containers</t>
  </si>
  <si>
    <t>Physical inspection of room for cleanliness and proper segregation with secondary containers</t>
  </si>
  <si>
    <t>Availability of guarding for rotating parts</t>
  </si>
  <si>
    <t>Status of landscape (lawns &amp; gardens)</t>
  </si>
  <si>
    <t>Status of external driveway, walkways, parking areas (Physical inspection for cleanliness, signages, slot marking, numbering, Identification)</t>
  </si>
  <si>
    <t>Condition of yard hydrant, building safety signages (incl. safe assembly area)</t>
  </si>
  <si>
    <t>Is the electrical inspectorate safety certificate available at site.</t>
  </si>
  <si>
    <t>Inspection of documents - Log Sheets/ Checklists, History card, PM Schedule, PM Service Reports, Test Reports, O&amp;M Manuals, SOP, Work Instructions, Emergency Procedures</t>
  </si>
  <si>
    <t>Are the operation's staff trained in first aid?</t>
  </si>
  <si>
    <t>Are suitable Fire Extinguishers for electrical fires available</t>
  </si>
  <si>
    <t>No fire prone and other foreign material stored in electrical rooms.</t>
  </si>
  <si>
    <t>Inspect status of work equipments along with related service reports and log sheet/checklists are being maintained with proper filling and validations</t>
  </si>
  <si>
    <t>Safety - Access control system/ Entry Register, safety signage, fire safety equipment, PPE, Safety Mats (available and in good condition with valid test certificates)</t>
  </si>
  <si>
    <t xml:space="preserve">Overall grooming of staff and safety shoes are in acceptable condition </t>
  </si>
  <si>
    <t>Master Single Line Diagram, As built diagrams, Single Line Diagram for UPS and Electrical distribution available and displayed in Electrical Room</t>
  </si>
  <si>
    <t>Are staff suitably qualified and certified for the specific jobs and is job description available for each of them</t>
  </si>
  <si>
    <t>Labelling of all equipments, panels, breakers, switches are done</t>
  </si>
  <si>
    <t>Are the cable tray supports in good condition and not rusted, and are the cables properly positioned in the trenches and on the tray and covered properly?</t>
  </si>
  <si>
    <t>Yard fencing is earthed.</t>
  </si>
  <si>
    <t>Are Emergency lights available</t>
  </si>
  <si>
    <t>Earthing for all equipments are done and in good condition</t>
  </si>
  <si>
    <t>Periodicity and availability of records for Earth Value Checking</t>
  </si>
  <si>
    <t>No water seepage  in the cable trench and the cable entry points are sealed properly.</t>
  </si>
  <si>
    <t>No abnormalities (vibration/ noise/ temp) is observed during operation</t>
  </si>
  <si>
    <t>No oil leakage in case of oil cooled Trans.</t>
  </si>
  <si>
    <t>Availability of critical spares at site</t>
  </si>
  <si>
    <t>Safety - Access control system/ Entry Register, safety signage, flanging, fire safety equipment, PPE, Safety Mats (available and in good condition with valid test certificates)</t>
  </si>
  <si>
    <t>No fire prone and other foreign material stored</t>
  </si>
  <si>
    <t>Is pollution board clearance and stack emission records available</t>
  </si>
  <si>
    <t xml:space="preserve">Loading pattern of DG is maintained &lt; 80% </t>
  </si>
  <si>
    <t>Availability of diesel at site for min. 12 hours operation</t>
  </si>
  <si>
    <t xml:space="preserve">Sound level normal and acceptable level while the D.G. is in operation </t>
  </si>
  <si>
    <t xml:space="preserve">Critical spares for D.G. available at site </t>
  </si>
  <si>
    <t>External Auxiliaries supports are not rusted and in good condition</t>
  </si>
  <si>
    <t xml:space="preserve">Fuel conumption data details available . </t>
  </si>
  <si>
    <t>Is there any backup plan if DG fails to start or stops while in operation</t>
  </si>
  <si>
    <t>Are records available for proper disposable of used oil and old batteries.</t>
  </si>
  <si>
    <t>Is Static Discharge Plate available</t>
  </si>
  <si>
    <t>Flameproof Lightings provided</t>
  </si>
  <si>
    <t>Availability of basic and adequate tools to handle routine tasks and torch light with staff</t>
  </si>
  <si>
    <t xml:space="preserve">Are safety measures/procedures being followed </t>
  </si>
  <si>
    <t>Is staff reactive in case of Fire Alarm and are they trained on Fire Emergency</t>
  </si>
  <si>
    <t xml:space="preserve">Adherence to PPM schedules - Check PPM schedule versus completion </t>
  </si>
  <si>
    <t>Whether the average daily consumption of treated water is recorded</t>
  </si>
  <si>
    <t>Are pumps &amp; Blowers in working condition</t>
  </si>
  <si>
    <t xml:space="preserve">Physical inspection of room, platform and equipment  </t>
  </si>
  <si>
    <t>Availability and display of statutory &amp; operational documents and drawings</t>
  </si>
  <si>
    <t>Availability of Eye wash stations and if bottles used, is the water replinished everyday</t>
  </si>
  <si>
    <t>Availability and display of statutory (PESO License)  &amp; operational documents and drawings</t>
  </si>
  <si>
    <t>All valves, gauges, pipes, fittings and alarm systems free from signs of physical damage and leakages</t>
  </si>
  <si>
    <t xml:space="preserve">Are the records maintained for fire audits. </t>
  </si>
  <si>
    <t xml:space="preserve">Emergency evacuation floor drawings </t>
  </si>
  <si>
    <t>Do all fire extinguishers bear the classification markings and inspections and due dates marked on the extinguishers.</t>
  </si>
  <si>
    <t>List of emergency exits and identification with numbers.</t>
  </si>
  <si>
    <t xml:space="preserve">List of smoke detectors, sprinklers, hydrants, extinguishers with respect to area and type </t>
  </si>
  <si>
    <t>Are floor evacuation layouts prominently displayed.</t>
  </si>
  <si>
    <t>Are floor identification marks provided in the ropes for identification of floor during manual rescue operations</t>
  </si>
  <si>
    <t>Lift operators are trained to handle emergency operations</t>
  </si>
  <si>
    <t>Are emergency critical spares available at site</t>
  </si>
  <si>
    <t>Display consent &amp; availability of Statutory forms</t>
  </si>
  <si>
    <t>Scheduled cleaning of drains and sewers and tanks</t>
  </si>
  <si>
    <t>House Keeping</t>
  </si>
  <si>
    <t xml:space="preserve">Do supervisors maintain daily report </t>
  </si>
  <si>
    <t xml:space="preserve">Is Lost / found register maintained </t>
  </si>
  <si>
    <t xml:space="preserve">Is daily briefing carried out by supervisors </t>
  </si>
  <si>
    <t xml:space="preserve"> Is there a  vacuuming process in place</t>
  </si>
  <si>
    <t xml:space="preserve">Sufficiency of cleaning materials &amp; machinery provided by Vendor </t>
  </si>
  <si>
    <t xml:space="preserve"> Is the façade cleaning schedule in place</t>
  </si>
  <si>
    <t>Is segregation of wet and dry waste maintained.</t>
  </si>
  <si>
    <t>Manpower allocation / location ( shift wise) and is the attendance tracked</t>
  </si>
  <si>
    <t xml:space="preserve">Is there a schedule for  cleaning toilets and is toilet checklist being followed </t>
  </si>
  <si>
    <t>Are records of waste disposal maintained at site.</t>
  </si>
  <si>
    <t>Horticulture</t>
  </si>
  <si>
    <t>Is segregation of waste maintained.</t>
  </si>
  <si>
    <t xml:space="preserve"> Is there a check of application of fertilizers / chemicals for plants</t>
  </si>
  <si>
    <t>Check on spraying of anti fly and anti mosquito chemicals by pest control team</t>
  </si>
  <si>
    <t>No Cracks / fissures noticed in walls and external façade</t>
  </si>
  <si>
    <t>Cleaning and clearing of debris from drain pits</t>
  </si>
  <si>
    <t>Is non-bio degradable waste segregated at source.</t>
  </si>
  <si>
    <t xml:space="preserve">Are latest version of IMS Procedures and formats followed at  site </t>
  </si>
  <si>
    <t>Pest Control</t>
  </si>
  <si>
    <t>Dumpster areas are kept free of litter and lids are closed</t>
  </si>
  <si>
    <t>Trash storage containers that are not covered with roof are moved inside during rain fall</t>
  </si>
  <si>
    <t>Liquid containers are kept out of pooled or standing water;</t>
  </si>
  <si>
    <t>Leaves and litters are cleared from gutters</t>
  </si>
  <si>
    <t>Rooftop equipment such as generators and HVAC equipment are inspected for leaks</t>
  </si>
  <si>
    <t>Change in chilled water set temp. based on ambient conditions and other operational requirements.</t>
  </si>
  <si>
    <t>Provision of sensors in toilets</t>
  </si>
  <si>
    <t>Signage's for switching off lights when not required by the users.</t>
  </si>
  <si>
    <t>Conducting of evacuation drills.</t>
  </si>
  <si>
    <t>Knowledge on the systems installed at site – Air conditioning, Generators, Electrical, BMS, UPS, Lifts, Fire Protection Systems</t>
  </si>
  <si>
    <t>Awareness</t>
  </si>
  <si>
    <t xml:space="preserve">List of alternate vendors for every items </t>
  </si>
  <si>
    <t xml:space="preserve">Balance stock in hand for the month for each items  </t>
  </si>
  <si>
    <t>Are consumption tracked and analysis done on monthly consumption</t>
  </si>
  <si>
    <t>Chemical containers properly labeled, stored, &amp; closed when not in use.</t>
  </si>
  <si>
    <t>Gas cylinders legibly marked as to their contents.</t>
  </si>
  <si>
    <t>Valve protectors used when cylinders not in use or when being transported.</t>
  </si>
  <si>
    <t>Gas cylinders, valves, couplings, regulators kept free of oil and grease.</t>
  </si>
  <si>
    <t>Empty gas cylinders labeled "Empty," valves closed, and caps on.</t>
  </si>
  <si>
    <t>Waste containers kept closed except when adding waste.</t>
  </si>
  <si>
    <t>Waste containers properly labeled</t>
  </si>
  <si>
    <t>Designated Waste storage areas (bins, totes)</t>
  </si>
  <si>
    <t>Eyewash station/ shower unobstructed and inspected as required and available within 100 ft. and 10 second travel time from chemical storage area.</t>
  </si>
  <si>
    <t>Spill &amp; accident reporting procedures understood by personnel.</t>
  </si>
  <si>
    <t>Extension cords are not used as permanent wiring.</t>
  </si>
  <si>
    <t>Extension cords and power strips not daisy-chained one to another.</t>
  </si>
  <si>
    <t>Electrical cords not under carpets/rugs, through doorways, or high traffic areas.</t>
  </si>
  <si>
    <t>Multi-outlet power strips have circuit breakers.</t>
  </si>
  <si>
    <t>Power cords are in good condition with no splices or broken insulation.</t>
  </si>
  <si>
    <t>Circuit breaker panels and emergency shut offs unobstructed and labeled.</t>
  </si>
  <si>
    <t>Electrical outlets not overloaded with appliances, i.e. splitters used.</t>
  </si>
  <si>
    <t>Ground Fault Interrupters installed, labeled and operating correctly.</t>
  </si>
  <si>
    <t>Energized parts, circuits, and equipment guarded against accidental contact.</t>
  </si>
  <si>
    <t>Fire extinguishers properly mounted, located, and identified.</t>
  </si>
  <si>
    <t>Fire extinguishers adequate in number and type.</t>
  </si>
  <si>
    <t>Fire extinguishers inspected, recharged, and maintained as required.</t>
  </si>
  <si>
    <t>Fire aisles, exitways, stairways, and fire equipment kept unobstructed.</t>
  </si>
  <si>
    <t>Exit lights properly illuminated and emergency lighting operable.</t>
  </si>
  <si>
    <t>Fire doors not blocked open or are on magnets connected to fire alarm system.</t>
  </si>
  <si>
    <t>Flammable liquids stored in approved safety cans.</t>
  </si>
  <si>
    <t>Flammable liquid containers kept closed when not in use.</t>
  </si>
  <si>
    <t>Connections on drums and combustible liquid piping leak free.</t>
  </si>
  <si>
    <t>Proper storage of flammable/combustible materials to reduce risk of fire.</t>
  </si>
  <si>
    <t>Sprinkler heads clean and no storage within 18 inches.</t>
  </si>
  <si>
    <t>Sprinkler heads protected by metal guards when exposed to physical damage.</t>
  </si>
  <si>
    <t>Oily/greasy rags placed properly in containers.</t>
  </si>
  <si>
    <t>PPE is properly stored, clean and in good and hygeinic condition.</t>
  </si>
  <si>
    <t>Appropriate signs posted (First aid kit, safety shower, fire extinguisher, etc.).</t>
  </si>
  <si>
    <t>No food or beverages unless adequately separated from hazard areas.</t>
  </si>
  <si>
    <t>Noise levels are within acceptable limits or engineering controls established.</t>
  </si>
  <si>
    <t>Areas with high noise levels posted and hearing protection required to be used.</t>
  </si>
  <si>
    <t>Work area properly ventilated for type of equipment or chemicals in use.</t>
  </si>
  <si>
    <t>Vacuum systems used when possible instead of blowing or sweeping dusts.</t>
  </si>
  <si>
    <t>Temperature and humidity seem to be within acceptable ranges.</t>
  </si>
  <si>
    <t>Areas free of visible fungal/mold growth and associated odors.</t>
  </si>
  <si>
    <t>Walls ceilings, floors free of signs of mold or moisture damage.</t>
  </si>
  <si>
    <t>Air intake areas free of odor causing materials or hazardous chemicals.</t>
  </si>
  <si>
    <t>All sharp edges are identified and masked with proper signages</t>
  </si>
  <si>
    <t>All trip hazards identified and necessary actions taken with proper signages</t>
  </si>
  <si>
    <t>Safety Cross is available and marked with all required details</t>
  </si>
  <si>
    <t>Campus/ Building:</t>
  </si>
  <si>
    <t>Total Score</t>
  </si>
  <si>
    <t>Max. Permissible Points</t>
  </si>
  <si>
    <t>NA</t>
  </si>
  <si>
    <r>
      <t xml:space="preserve">Score
</t>
    </r>
    <r>
      <rPr>
        <b/>
        <sz val="11"/>
        <color rgb="FFFF0000"/>
        <rFont val="Calibri"/>
        <family val="2"/>
      </rPr>
      <t>Yes (1), No (0)</t>
    </r>
  </si>
  <si>
    <r>
      <t xml:space="preserve">Applicability
</t>
    </r>
    <r>
      <rPr>
        <b/>
        <sz val="11"/>
        <color rgb="FFFF0000"/>
        <rFont val="Calibri"/>
        <family val="2"/>
      </rPr>
      <t>(Applicable - 1
Not Applicable - NA)</t>
    </r>
  </si>
  <si>
    <t>Total Maximum Permissible Points</t>
  </si>
  <si>
    <t>Total Score:</t>
  </si>
  <si>
    <t>Other Observations and Recommendations</t>
  </si>
  <si>
    <t>Observations</t>
  </si>
  <si>
    <t>Recommendations</t>
  </si>
  <si>
    <t>Security</t>
  </si>
  <si>
    <t xml:space="preserve">Is there a schedule for  patrolling and checklist being followed </t>
  </si>
  <si>
    <t>Are records of work permits being maintained</t>
  </si>
  <si>
    <t>Are awareness sessions for guards given and records being maintained</t>
  </si>
  <si>
    <t>Updated skill matrix and any deviation from the required competency matrix</t>
  </si>
  <si>
    <t>Are all awareness session / training records being maintained</t>
  </si>
  <si>
    <t>Are EHS performance monitoring data being maintained and matches with the actuals</t>
  </si>
  <si>
    <t>Are Safety Committee Meetings conducted every month and MOM being recorded</t>
  </si>
  <si>
    <t>Are pending MRM agenda points actioned upon</t>
  </si>
  <si>
    <t>Reception / Lobby</t>
  </si>
  <si>
    <t>Rooftop gutters and down spouts are checked for clogging</t>
  </si>
  <si>
    <t>No masonry cracks in pathways and walkways</t>
  </si>
  <si>
    <t>Any seepage in basement structure</t>
  </si>
  <si>
    <t>Signs are posted to control litter and prevent patrons from working with automobile fluid in the parking lot</t>
  </si>
  <si>
    <t>Are stairs and handrails secure and treads firmly attached to steps?</t>
  </si>
  <si>
    <t>Does the outside of the building present any obvious safety concerns?</t>
  </si>
  <si>
    <t>Are all Staff aware of their duties and responsibilities in Safety and Operations?</t>
  </si>
  <si>
    <t>Are all staffs completed the “General Workplace Safety Induction”?</t>
  </si>
  <si>
    <t>Are all Workers trained and competent for their particular task?</t>
  </si>
  <si>
    <t>Do site management attend and deliver TBTs?</t>
  </si>
  <si>
    <t>Is training provided on the use of PPE?</t>
  </si>
  <si>
    <t>Is the correct PPE (eye, face, hand, hearing, foot,  protection, respirator and protective clothing (coveralls, aprons, etc)) available for the task and used ?</t>
  </si>
  <si>
    <t>Has the need for personal protective equipment been assessed?</t>
  </si>
  <si>
    <t>Are all panels earthed, covered and warning signs displayed?</t>
  </si>
  <si>
    <t>Are Safety Data Sheets (SDS) and COSHH available for all chemicals?</t>
  </si>
  <si>
    <t>Is the use of chemicals subject to risk assessment?</t>
  </si>
  <si>
    <t>Is the number of cylinders inside the warehouse kept to a storage limit?</t>
  </si>
  <si>
    <t>Are cylinders securely restrained? Are trolleys used?</t>
  </si>
  <si>
    <t xml:space="preserve"> Are flash back arrestors installed?</t>
  </si>
  <si>
    <t>Gas cylinders stored in secure area and away from high heat, flames, etc. and also secured from tipping or falling.</t>
  </si>
  <si>
    <t xml:space="preserve">Are gas systems periodically pressure &amp; leak tested? </t>
  </si>
  <si>
    <t>Gas cylinders hydrotested at appropriate intervals</t>
  </si>
  <si>
    <t>Any leakages for shafts, ground/ retaining wall, etc</t>
  </si>
  <si>
    <t>Are the emergency contact numbers (names and contact numbers of personnel involved in HSE like first aiders, ERT members, displayed around the site?</t>
  </si>
  <si>
    <t>Are the emergency access routes displayed?</t>
  </si>
  <si>
    <t>Inspection of Access equipments (Ex: Ladder, scaffolds, cradles)</t>
  </si>
  <si>
    <t xml:space="preserve">Availability and inspection of Wheel chair, Evacuation Chair &amp; Stretcher </t>
  </si>
  <si>
    <t>Work areas maintained clean, sanitary, and orderly. (garbage disposed properly, etc.)</t>
  </si>
  <si>
    <t>First aid Kit available with required materials and proper tracking of usage and ensured no expired materials stored</t>
  </si>
  <si>
    <t>All equipments, tools, energy meters &amp; relays are calibrated along with valid calibration reports</t>
  </si>
  <si>
    <t>Are Safety Suggestions, unsafe acts and unsafe conditions observed being actioned upon</t>
  </si>
  <si>
    <t>Check complaints register and verified reason for open complaints with necessary actions</t>
  </si>
  <si>
    <t>Any major pending works to action upon</t>
  </si>
  <si>
    <t>Availability of list of AMC, Contractor and vendor with details</t>
  </si>
  <si>
    <t>Are proper good quality signages like under maintenance, switched off, do not use etc. available</t>
  </si>
  <si>
    <t>Awareness on ISO Procedures, systems and checklists available for their respective job</t>
  </si>
  <si>
    <t>Appropriate spill control kit available and stocked</t>
  </si>
  <si>
    <t>Chemicals segregated and stored by compatibility and storage area is free of ignition sources</t>
  </si>
  <si>
    <t>List of Chemicals used on site along with tracker</t>
  </si>
  <si>
    <t>List of PPE along with tracker and inspection reports and feedback forms is available</t>
  </si>
  <si>
    <t>Preparedness to handle Fire equipment in emergencies</t>
  </si>
  <si>
    <t>Preparedness to handle and rescue lift passengers</t>
  </si>
  <si>
    <t>Preparedness to handle power failures</t>
  </si>
  <si>
    <t>Preparedness to handle No water situations</t>
  </si>
  <si>
    <t>Preparedness to Off-duty hours emergencies</t>
  </si>
  <si>
    <t xml:space="preserve">Gas Cylinders Safety </t>
  </si>
  <si>
    <t>Stores</t>
  </si>
  <si>
    <t>List of vendors of each items  with contact details</t>
  </si>
  <si>
    <t>List of consumables, tools, equipments, machineries used on site along with tracker and movement register</t>
  </si>
  <si>
    <t>Used oil collected and stored separate for disposal</t>
  </si>
  <si>
    <t>Use of proper PPE's by operators</t>
  </si>
  <si>
    <t>Availability of records for consumables and chemicals maintained at site along with MSDS &amp; COSHH</t>
  </si>
  <si>
    <t>Is there a log record of all personnel entering and exiting the site? Are records of visitor, vendor and vehicle entry maintained at site.</t>
  </si>
  <si>
    <t>Are all security personnel trained in the emergency procedure?</t>
  </si>
  <si>
    <t>Are records of material movement (In &amp; Out) maintained at site.</t>
  </si>
  <si>
    <t>Is there a traffic Management Plan on site</t>
  </si>
  <si>
    <t>Are traffic routes signed and clear around site</t>
  </si>
  <si>
    <t>Is the lighting adequate on all road ways</t>
  </si>
  <si>
    <t>Is the pedestrian walk ways unobstructed and free from hazards?</t>
  </si>
  <si>
    <t>Physical inspection for cleanliness, sufficient lighting &amp; ventilation</t>
  </si>
  <si>
    <t>Litters, unwanted materials, scrap and debris are picked up frequently and stored properly in designated areas for disposal</t>
  </si>
  <si>
    <t>Access and egress provisions are safe and fire escape routes steps monitored for any obstructions</t>
  </si>
  <si>
    <t>Liquid containers are inspected regularly for cracks, or leaky seams</t>
  </si>
  <si>
    <t>Garbage storage areas are kept clean</t>
  </si>
  <si>
    <t>Team is aware of Waste disposal procedure</t>
  </si>
  <si>
    <t>Biohazardous waste managed &amp; stored properly for disposal.</t>
  </si>
  <si>
    <t>E-Waste (lights, chokes, capacitors monitors, TVs, circuit boards, etc.) stored separate and managed properly.</t>
  </si>
  <si>
    <t>Are suitable Fire Extinguishers for electrical fires and smoke detectors available</t>
  </si>
  <si>
    <t>Fuel Supply Vendor details available at site (Details of nearby place for purchasing the fuel in case of emergency is available)</t>
  </si>
  <si>
    <t>No HSD/ Oil leakage/ spillage observed</t>
  </si>
  <si>
    <t>Tracker for fuel movement (in &amp; out) available</t>
  </si>
  <si>
    <t>No HSD leakage/ spillage</t>
  </si>
  <si>
    <t>Are the defects identified by electrical inspector and any other inspections/ audit has been rectified.</t>
  </si>
  <si>
    <t>Are the defects identified during lift inspections and audits has been rectified.</t>
  </si>
  <si>
    <t>Physical inspection of room, equipments and lift pits for cleanliness</t>
  </si>
  <si>
    <t>Display of Maintenance signages by HK Team</t>
  </si>
  <si>
    <t>Display of warning signages wherever required</t>
  </si>
  <si>
    <t>Are the emergency operation procedures, escalation matrix and safety instructions available and displayed at all lift cars and lift machine room</t>
  </si>
  <si>
    <t>Service call records are updated and records for testing of over speed trip, door safety mechanismsavailable</t>
  </si>
  <si>
    <t>Lift floor indicators, call button lights, fans, emergency lights, lift communication system (telephone), Door closing protection ( Photo sensor or pads), Automatic rescue device and Fireman Lift are working good and healthy</t>
  </si>
  <si>
    <t>Are the lifts operating without any vibrations and jerks and  lifts floor alignment is within acceptable limits in all floors.</t>
  </si>
  <si>
    <t>Are the defects identified during inspections and audits has been rectified.</t>
  </si>
  <si>
    <t>List of chemicals used along with Safety Data Sheets and COSHH are available</t>
  </si>
  <si>
    <t>Availability of Eye wash stations and eye wash bottles near chemical storage area and if bottles used, is the water replinished everyday</t>
  </si>
  <si>
    <t>Is the approval certificate from Pollution Control Board, water effluents test report available at site.</t>
  </si>
  <si>
    <t>List of chemicals used along with Safety Data Sheets and COSHH available</t>
  </si>
  <si>
    <t xml:space="preserve">All required PPEs are used inside the STP </t>
  </si>
  <si>
    <t>Schedule for cleaning of tanks is available and conducted accordingly</t>
  </si>
  <si>
    <t>Is fire engine battery condition and diesel tank level maintained at acceptable levels</t>
  </si>
  <si>
    <t>Is water in fire sumps maintained above 80%</t>
  </si>
  <si>
    <t>Inspection of documents - Log Sheets/ Checklists, History card, PM Schedule, PM Service Reports, Test Reports, O&amp;M Manuals, SOP, Work Instructions</t>
  </si>
  <si>
    <t>ISO Standards</t>
  </si>
  <si>
    <t>Which functions/ areas to verify the requirements (Filter as per target department)</t>
  </si>
  <si>
    <t>Blank</t>
  </si>
  <si>
    <t>Area of IMS</t>
  </si>
  <si>
    <t>Parameter of Evaluation</t>
  </si>
  <si>
    <t>9001:2015</t>
  </si>
  <si>
    <t>14001:2015</t>
  </si>
  <si>
    <t>45001:2018</t>
  </si>
  <si>
    <t>Housekeeping</t>
  </si>
  <si>
    <t>Maintenance</t>
  </si>
  <si>
    <t>Food Court/ F&amp;B</t>
  </si>
  <si>
    <t>HR/ ADM</t>
  </si>
  <si>
    <t>Leasing</t>
  </si>
  <si>
    <t>EHS</t>
  </si>
  <si>
    <t>Procurement</t>
  </si>
  <si>
    <t>Property Manager (Ops/ CRM)</t>
  </si>
  <si>
    <t>Guidelines for Auditors for Compliance. 
(Else it will be a non compliance)</t>
  </si>
  <si>
    <t>Context of the Organisation</t>
  </si>
  <si>
    <t>Are the issues of organisatoin determined and recorded by the top management</t>
  </si>
  <si>
    <t>Yes</t>
  </si>
  <si>
    <t xml:space="preserve">Look at internal and external issues for all factors for the corporate prepared by the Top Management Core Team. </t>
  </si>
  <si>
    <t>Are interested Party Needs determined and compliance obligations identified</t>
  </si>
  <si>
    <t>Are the issues and interested party needs reviewed periodically</t>
  </si>
  <si>
    <t>Look for records of review in MRM or internal MOM or data in Context Document</t>
  </si>
  <si>
    <t>Look for all possible interested parties that are relevant to IMS and their needs and expectations are identified. This has to be done by the top management</t>
  </si>
  <si>
    <t>Management</t>
  </si>
  <si>
    <t>Is the Policy developed for QEHS, are they displayed at prominent locations, are the people aware of the policies</t>
  </si>
  <si>
    <t>Are responsiblilities, authorities and accountability clearly defined?</t>
  </si>
  <si>
    <t>Look for organisation chart, detailed Job Descriptions, verify with 2 - 3 sample persons</t>
  </si>
  <si>
    <t>Look for evidence of consultation and participation of non managerial workers</t>
  </si>
  <si>
    <t>Look for evidence of consulting workers for development of HIRA, Risks, Procedures etc. (Safety committee meetings, workshops etc.). Verify with down the line people if they are part of EHS consultation activities.</t>
  </si>
  <si>
    <t>Are Business risks identified and being actioned?</t>
  </si>
  <si>
    <t>6.1.1</t>
  </si>
  <si>
    <t>Verify action for all high probability risks in risk and opportunities document. Cross check a few controls with actual practice. Look at Business Risk document.</t>
  </si>
  <si>
    <t>Are the risk ratings awarded as per defined procedures?</t>
  </si>
  <si>
    <t>Verify ratings for sample risks as per guidelines</t>
  </si>
  <si>
    <t>Documented action plans available for risk control of significant risks?</t>
  </si>
  <si>
    <t>6.1.2</t>
  </si>
  <si>
    <t>Verify in defined format for all risks in significant category and see if actoins are being taken.</t>
  </si>
  <si>
    <t>Have teams understood the rating mechanism?</t>
  </si>
  <si>
    <t>Randomly check with 4 - 5 persons</t>
  </si>
  <si>
    <t>Aspect Impact/ HIRA</t>
  </si>
  <si>
    <t>Are the Aspect Impact and HIRA documents reviewed periodically especially for any recent events?</t>
  </si>
  <si>
    <t>Check for new aspects/ modified ratings for all facility related activities. Ensure it inlcudes lifecycle approach for aspects and Social, ergonomic, behavioural risks in addition</t>
  </si>
  <si>
    <t>Does the HIRA / Aspect Impact cover all activities within the function/ site?</t>
  </si>
  <si>
    <t>Verify all activities are covered in th HIRA/Aspect Impact.</t>
  </si>
  <si>
    <t>Are the controls identified implemented?</t>
  </si>
  <si>
    <t>Randomly check 4 - 5 risk and controls e.g. PPE, Work permits,  checklists etc.</t>
  </si>
  <si>
    <t>Objectives and Planning</t>
  </si>
  <si>
    <t>Are objectives defined for Quality, Health Safety &amp; Environment for the Function?</t>
  </si>
  <si>
    <t>6.2.1</t>
  </si>
  <si>
    <t>Minimum one objective per department needed (preferable to have all 3 types) for Each Site.</t>
  </si>
  <si>
    <t>Are targets defined, data monitored and analysed (min 6 months)?</t>
  </si>
  <si>
    <t>6.2.2</t>
  </si>
  <si>
    <t>The targets should be reasonably achievable within the scope. Look for data summary and achievement</t>
  </si>
  <si>
    <t>If targets are not met are documented action plans available?</t>
  </si>
  <si>
    <t>Look for action, responsibility, target date, status of each target.</t>
  </si>
  <si>
    <t>Compliance Obligation/ Legal and Other Requirements</t>
  </si>
  <si>
    <t>Are all compliance obligations (legal and other requirements) available as a Register and is updated?</t>
  </si>
  <si>
    <t>6.1.3</t>
  </si>
  <si>
    <t>The Register must cover all EHS requirements inculding Safety &amp;  Environment related. Where applicable other requirements are also identified.</t>
  </si>
  <si>
    <t>Are evidences available for compliance obligations?</t>
  </si>
  <si>
    <t>9.1.2</t>
  </si>
  <si>
    <t>Look for records for last 6 months.</t>
  </si>
  <si>
    <t>Work Environment &amp; Infrastructure</t>
  </si>
  <si>
    <t>Are all equipment installed maintained properly?</t>
  </si>
  <si>
    <t>7.1.3</t>
  </si>
  <si>
    <t>Look for maintenance records, preventive maintenance records available for all key operations equipment.</t>
  </si>
  <si>
    <t>Are equipment AMC given for key equipment or in house maintenance systems established?</t>
  </si>
  <si>
    <t>Look for AMC records or inhouse service reports/ PM reports. In case of outsourced critical equipment, look for control over those equipment.</t>
  </si>
  <si>
    <t>Is the work environment Conducive? Employee Engagement Activities carried dout</t>
  </si>
  <si>
    <t>7.1.4</t>
  </si>
  <si>
    <t>Look for Lighting, Noise, Ventilation and also people related aspects such as stress,working hours, discrimination at local level.</t>
  </si>
  <si>
    <t>Calibration of Monitoring &amp; Measuring Resources</t>
  </si>
  <si>
    <t>Are all instruments/ gauges listed and calibrated and Instruments Identified?</t>
  </si>
  <si>
    <t>7.1.5</t>
  </si>
  <si>
    <t>9.1.1</t>
  </si>
  <si>
    <t>Check for list of instruments and their calibration status and look for instrument identification</t>
  </si>
  <si>
    <t>Are the calibration certificates traceable to NABL, NPL, NIST or equivalent?</t>
  </si>
  <si>
    <t>7.1.6</t>
  </si>
  <si>
    <t>Verify few calibration records, it should be valid, from agency with Traceable Calibration.</t>
  </si>
  <si>
    <t>Human Resources</t>
  </si>
  <si>
    <t>Is a competence criteria available</t>
  </si>
  <si>
    <t xml:space="preserve">Look for Competence Criteria/ Skill Matrix  to revew completence reqiurements. See few sample persons fit the criteria. </t>
  </si>
  <si>
    <t>Is adequate manpower available?</t>
  </si>
  <si>
    <t>7.1.2</t>
  </si>
  <si>
    <t>Verify if the persons as per organisation chart are avaliable. Is there any signs of resource constraint.</t>
  </si>
  <si>
    <t>Are training needs identified and training records available as per plan</t>
  </si>
  <si>
    <t>Look for training Plans, Attendance Sheets, Certificates, Emails etc.  Look for effectiveness of training through feedback or other means.</t>
  </si>
  <si>
    <t>Are people aware of policy, objectives, risk, aspects and effect of non compliance</t>
  </si>
  <si>
    <t>Verify awareness with sample persons (policy, Aspect Impaxt, HIRA, Risk, roles etc.)</t>
  </si>
  <si>
    <t>Organisational Knowledge</t>
  </si>
  <si>
    <t>Is the knowledge Management Defined</t>
  </si>
  <si>
    <t>Look for data and document distribution and Knowledge and learning forums</t>
  </si>
  <si>
    <t>Documented Information</t>
  </si>
  <si>
    <t>Does the team have access to the Asset Management Manual and Other Documents ?</t>
  </si>
  <si>
    <t>7.5.1</t>
  </si>
  <si>
    <t xml:space="preserve">The files are available on Embassy REIT Server, see if local document list is made. Verify whether the relevant department is ok. </t>
  </si>
  <si>
    <t>Are the formats defined in the procedures being used and same identification followed?</t>
  </si>
  <si>
    <t>The formats are available on Embassy Server. All teams should be following the latest formats. Check few sample</t>
  </si>
  <si>
    <t>Is a master list of documented information available  and documents easily retrieved?</t>
  </si>
  <si>
    <t>7.5.2</t>
  </si>
  <si>
    <t>This should be as per format defined in Server. Randomly check 4 - 5 records/ procedures for their retreivability</t>
  </si>
  <si>
    <t>Are the retention and dispostion defined for the retained information</t>
  </si>
  <si>
    <t>Verify few samples for Retention of Data.</t>
  </si>
  <si>
    <t>Are there any changes to documents and are the changes approved?</t>
  </si>
  <si>
    <t>7.5.3</t>
  </si>
  <si>
    <t>Look for changes to documentation, if any. If yes look for approval of changes and change history.</t>
  </si>
  <si>
    <t>Quality Planning and Control, change management</t>
  </si>
  <si>
    <t>Are procedures available for relevant process, followed and monitored?</t>
  </si>
  <si>
    <t>Check for the AMD document and verify performance as per plan</t>
  </si>
  <si>
    <t>Changes to plans incorporated and implemented</t>
  </si>
  <si>
    <t>8.1.3</t>
  </si>
  <si>
    <t>See If the plans are updated, people are informed. When changes occur impact on Quality, Health &amp; Safety and Environment is evaluated?</t>
  </si>
  <si>
    <t>Customer Oriented Activities</t>
  </si>
  <si>
    <t>Are the customer needs determined, reviewed prior to commitment?</t>
  </si>
  <si>
    <t>8.2.3</t>
  </si>
  <si>
    <t>Look for contracts, tenders, agreements, PO, Email, MOM etc that capture customer need</t>
  </si>
  <si>
    <t>Is Customer Feedback Taken including satisfaction and acted upon?</t>
  </si>
  <si>
    <t>8.2.1</t>
  </si>
  <si>
    <t>Look for customer communication emails, complaints.</t>
  </si>
  <si>
    <t>Are post delivery activities taken care of</t>
  </si>
  <si>
    <t>8.5.5</t>
  </si>
  <si>
    <t>Look for complaints management, customer requests and feedback</t>
  </si>
  <si>
    <t>Customer Satisfaction Survey Analysis available</t>
  </si>
  <si>
    <t>9.2.1</t>
  </si>
  <si>
    <t>customer satisfaction surveys are available</t>
  </si>
  <si>
    <t>Design &amp; Development</t>
  </si>
  <si>
    <t>This Clause is currently not applicable</t>
  </si>
  <si>
    <t>External Providers</t>
  </si>
  <si>
    <t>Are their selection and evaluation records available for all external providers</t>
  </si>
  <si>
    <t>8.4.2</t>
  </si>
  <si>
    <t>8.1.4</t>
  </si>
  <si>
    <t>Look for Indents, Quotations and other evaluation mechanisms. Evaluation must include Quality, Health &amp; Safety and Environment aspects as part of selection</t>
  </si>
  <si>
    <t>Are their performance monitoring and re-evaluation avaiable for all providers</t>
  </si>
  <si>
    <t>Look for performance rating on quality, delivery, service, EHS, Cost and other appropriate factors</t>
  </si>
  <si>
    <t>Are there PO Contracts available with all external providers</t>
  </si>
  <si>
    <t>8.4.3</t>
  </si>
  <si>
    <t>Look for contracts with providers and inclusion of all terms and conditions</t>
  </si>
  <si>
    <t>Operational Controls</t>
  </si>
  <si>
    <t xml:space="preserve">Are site level Controls effectively implemented for QEHS </t>
  </si>
  <si>
    <t>Look for operational controls for EHS (PPE, Signage, clear Pathways, Housekeeping, Work Permits, TBT etc.) Go for Site Round</t>
  </si>
  <si>
    <t>Are Hazardous Material Handling Done Adequately including disposal?</t>
  </si>
  <si>
    <t>Look for MSDS, Storage Identification, Storage Conditions, Disposal Records. Inlcude E-waste, Batteries, Biomedical, Chemical and Oil, Domestic Waste</t>
  </si>
  <si>
    <t>Are operational log sheets, records available</t>
  </si>
  <si>
    <t>8.5.1</t>
  </si>
  <si>
    <t>Look for Daily Reports, Operational Logs, Checksheets, implementation of QEHS related procedures e.g. PPE, work permits, controls etc. conduct floor level audit.</t>
  </si>
  <si>
    <t>Are controls for quality operations available (Work Procedures, Checklists, Inspections) and records available as appropriate?</t>
  </si>
  <si>
    <t>Look for work procedures for quality of services.Verify their implementation. Look for Checklists etc.</t>
  </si>
  <si>
    <t>Emergency Preparedness</t>
  </si>
  <si>
    <t>Are all emergencies covered in Plan (environmental / health Safety)</t>
  </si>
  <si>
    <t>8.5.2</t>
  </si>
  <si>
    <t>Look for emergency plans related to Environment and Health &amp; Safety. Check previous mock drill plans.</t>
  </si>
  <si>
    <t>Are the fire control related equipment working?</t>
  </si>
  <si>
    <t>Fire Extinguishers, Hydrants, Smoke Detectors, Sprinklers etc working and being tested</t>
  </si>
  <si>
    <t>Are mock drill records maintained</t>
  </si>
  <si>
    <t>Verify periodic mock drills, actions on deficiencies if any</t>
  </si>
  <si>
    <t>Material Identification/ Traceability</t>
  </si>
  <si>
    <t>Are all the material/ Assets on site duly identified especialy with respect to their quality status</t>
  </si>
  <si>
    <t xml:space="preserve">Look for Tags, Boards, Area Identification. Special focus on Rejected/ Not  OK Material. Also unit numbers for assets. </t>
  </si>
  <si>
    <t xml:space="preserve">Do the material have proper traceability to batch numbers etc. </t>
  </si>
  <si>
    <t>Look for Traceability to Batch Numbers etc. for consummables etc.</t>
  </si>
  <si>
    <t>Customer and External Provider Property</t>
  </si>
  <si>
    <t>Are their any material given by customers or external providers</t>
  </si>
  <si>
    <t>8.5.3</t>
  </si>
  <si>
    <t>Check for vehicles if parked on premises, equipment of contractors.</t>
  </si>
  <si>
    <t>Preservation</t>
  </si>
  <si>
    <t>Check for preservation of material</t>
  </si>
  <si>
    <t>8.5.4</t>
  </si>
  <si>
    <t>Look for security (asset preservation), maintenance spares preservation, material preservation (stores), food safety (food Preservation)</t>
  </si>
  <si>
    <t>Post Delivery Activities</t>
  </si>
  <si>
    <t>Are there any contractual or non contractual obligations after delivering of product/ service  and are their records to demonstrate their execution</t>
  </si>
  <si>
    <t>Look for complaints from tenants, visitors</t>
  </si>
  <si>
    <t>Release of Products and Services (Quality Control</t>
  </si>
  <si>
    <t>Are their records of Quality Checks for various products / services at each stage?</t>
  </si>
  <si>
    <t>Look for inspection records for material received from outside. Test Certificates. Look for Service Provider Checks (AMC/ Service Reports etc.)
Look for Property Checks before and After Leasing
Log Sheets of operations at service (supervisor checks)</t>
  </si>
  <si>
    <t>Performance Evaluation/ General</t>
  </si>
  <si>
    <t>Is data for performance for each process avaialble, is it analysis and then evaluated for trends and further action</t>
  </si>
  <si>
    <t>Look for IMS Objectives, KPI Data, Trends, Measurements at each stage</t>
  </si>
  <si>
    <t>Customer Satisfaction</t>
  </si>
  <si>
    <t>Is customer Satisfaction evaluated and actions taken</t>
  </si>
  <si>
    <t>Look for C-SAT/ R-SAT for the site</t>
  </si>
  <si>
    <t>Evaluation of Compliance</t>
  </si>
  <si>
    <t>Legal compliance to be evaluated and records maintained</t>
  </si>
  <si>
    <t>Look for evidences of all legal compliances as defined in legal register</t>
  </si>
  <si>
    <t>Analysis and evaluation of data</t>
  </si>
  <si>
    <t>9.1.3</t>
  </si>
  <si>
    <t>Look for graphs, charts and actions for poor performance (Department KPI Like - Ontime Completion, RFI, Customer Satisfaction etc.)</t>
  </si>
  <si>
    <t>Internal Audit Process</t>
  </si>
  <si>
    <t>Look for Process and Plan for internal audit</t>
  </si>
  <si>
    <t>Look for RCA and evidences for all NC for previous audit</t>
  </si>
  <si>
    <t>Internal Audit Program</t>
  </si>
  <si>
    <t>Internal audit plan, audit conducted NC close, corrections, root cause, corrective ations to be made</t>
  </si>
  <si>
    <t>9.2.2</t>
  </si>
  <si>
    <t>Management Review Process</t>
  </si>
  <si>
    <t>Look for Management Review inputs PPT, minutes of meeting</t>
  </si>
  <si>
    <t>Look for availability of MRM data/ minutes at site</t>
  </si>
  <si>
    <t xml:space="preserve">General </t>
  </si>
  <si>
    <t>9.3.1</t>
  </si>
  <si>
    <t>Management Review Input</t>
  </si>
  <si>
    <t>9.3.2</t>
  </si>
  <si>
    <t>Management Review Output</t>
  </si>
  <si>
    <t>9.3.3</t>
  </si>
  <si>
    <t>Improvement General</t>
  </si>
  <si>
    <t>Look for Improvement projects</t>
  </si>
  <si>
    <t>Look for Improvement projects, graphs should show trend</t>
  </si>
  <si>
    <t>Incident Investigation</t>
  </si>
  <si>
    <t>Incident Investigation carried out</t>
  </si>
  <si>
    <t>Incidents investigation, root cause and corrective action done</t>
  </si>
  <si>
    <t>NC and CA/ PA</t>
  </si>
  <si>
    <t>NC analysis, correction, root cause, corrective action</t>
  </si>
  <si>
    <t xml:space="preserve">NC analysis, correction, root cause, corrective action </t>
  </si>
  <si>
    <t>Continual Improvement</t>
  </si>
  <si>
    <t>Look for imrovement projects</t>
  </si>
  <si>
    <t>Verify if the top managemnet has developed the QEHS Policy containing commitment to Customer Satisfaction, Legal Compliance, Accident Prevention, Environment Protection, Wellbeing, etc. Is is understood by persons (Check with few sample persons)</t>
  </si>
  <si>
    <t>Business Risk</t>
  </si>
  <si>
    <t>Total Score Percentage:</t>
  </si>
  <si>
    <t>Requirements</t>
  </si>
  <si>
    <r>
      <t xml:space="preserve">Bagmane Developers Pvt. Ltd.
</t>
    </r>
    <r>
      <rPr>
        <sz val="12"/>
        <color theme="1"/>
        <rFont val="Calibri"/>
        <family val="2"/>
      </rPr>
      <t>Integrated Management System</t>
    </r>
    <r>
      <rPr>
        <b/>
        <sz val="14"/>
        <color theme="1"/>
        <rFont val="Calibri"/>
        <family val="2"/>
      </rPr>
      <t xml:space="preserve">
Building Inspection Checklist</t>
    </r>
  </si>
  <si>
    <t>MR</t>
  </si>
  <si>
    <t>Document Number: BDPL IMSP 12 F-02 (A)</t>
  </si>
  <si>
    <t>Document Number: BDPL IMSP 12 F-02 (B)</t>
  </si>
  <si>
    <t>Fire Prevention and Protection</t>
  </si>
  <si>
    <t>Chemical Storage and Safety</t>
  </si>
  <si>
    <t>Electrical Safety</t>
  </si>
  <si>
    <t>Personal Protective Equipment (PPE)</t>
  </si>
  <si>
    <t>Safety Equipment and Safety Preparedness</t>
  </si>
  <si>
    <t>Are all employees following the PPE rules? (Including Storage, Sharing, Sanitazition, Wearing, etc…)</t>
  </si>
  <si>
    <t>All areas properly illuminated. Glare and reflections avoided. Is the lux level maintained higher than the actual operational requirements or standards at all areas</t>
  </si>
  <si>
    <t>Are nonconformances reported being analysed and  investigation conducted along with tracking the status of the corrective actions?</t>
  </si>
  <si>
    <t>Inspect incident reports register and corrective action taken along with recommendations of Incident investigations
Are root cause analysis techniques employed to determine the underlying causes of incidents?
Are corrective and preventive actions implemented following incident investigations and the progress of these actionsare monitored and tracked?</t>
  </si>
  <si>
    <t>Inspect all statutory documents to ensure all licenses are valid and legal requirements are met.
Training given to the team on amendments/corrections to the legal requirements</t>
  </si>
  <si>
    <t>Are employees trained on nonconformance and incident response procedures and their roles during and after incidents?</t>
  </si>
  <si>
    <r>
      <t xml:space="preserve">Bagmane Developers Pvt. Ltd.
</t>
    </r>
    <r>
      <rPr>
        <sz val="12"/>
        <color theme="1"/>
        <rFont val="Calibri"/>
        <family val="2"/>
      </rPr>
      <t>Integrated Management System</t>
    </r>
    <r>
      <rPr>
        <b/>
        <sz val="14"/>
        <color theme="1"/>
        <rFont val="Calibri"/>
        <family val="2"/>
      </rPr>
      <t xml:space="preserve">
IMS Reference Checklist</t>
    </r>
  </si>
  <si>
    <t>Revision Date: January 16, 2024</t>
  </si>
  <si>
    <t>Rev No.: 02</t>
  </si>
  <si>
    <t>Upload photos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</si>
</sst>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name val="Times New Roman"/>
      <family val="1"/>
    </font>
    <font>
      <b/>
      <sz val="11"/>
      <color theme="1"/>
      <name val="Calibri"/>
      <family val="2"/>
    </font>
    <font>
      <sz val="11"/>
      <color theme="1"/>
      <name val="Calibri"/>
      <family val="2"/>
    </font>
    <font>
      <sz val="10"/>
      <name val="Calibri"/>
      <family val="2"/>
    </font>
    <font>
      <sz val="10"/>
      <color rgb="FF000000"/>
      <name val="Calibri"/>
      <family val="2"/>
    </font>
    <font>
      <sz val="11"/>
      <name val="Calibri"/>
      <family val="2"/>
    </font>
    <font>
      <b/>
      <sz val="11"/>
      <color rgb="FFFF0000"/>
      <name val="Calibri"/>
      <family val="2"/>
    </font>
    <font>
      <b/>
      <sz val="11"/>
      <name val="Calibri"/>
      <family val="2"/>
    </font>
    <font>
      <sz val="11"/>
      <color indexed="16"/>
      <name val="Calibri"/>
      <family val="2"/>
    </font>
    <font>
      <b/>
      <sz val="14"/>
      <color theme="1"/>
      <name val="Calibri"/>
      <family val="2"/>
    </font>
    <font>
      <sz val="11"/>
      <color theme="1"/>
      <name val="Calibri"/>
      <family val="2"/>
      <scheme val="minor"/>
    </font>
    <font>
      <sz val="10"/>
      <color theme="1"/>
      <name val="Calibri"/>
      <family val="2"/>
    </font>
    <font>
      <b/>
      <sz val="10"/>
      <color theme="1"/>
      <name val="Calibri"/>
      <family val="2"/>
    </font>
    <font>
      <b/>
      <sz val="10"/>
      <name val="Calibri"/>
      <family val="2"/>
    </font>
    <font>
      <sz val="12"/>
      <color theme="1"/>
      <name val="Calibri"/>
      <family val="2"/>
    </font>
    <font>
      <b/>
      <sz val="12"/>
      <color theme="1"/>
      <name val="Calibri"/>
      <family val="2"/>
    </font>
  </fonts>
  <fills count="10">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rgb="FF000000"/>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4" tint="0.79998168889431442"/>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s>
  <cellStyleXfs count="3">
    <xf numFmtId="0" fontId="0" fillId="0" borderId="0"/>
    <xf numFmtId="0" fontId="1" fillId="0" borderId="0"/>
    <xf numFmtId="9" fontId="11" fillId="0" borderId="0" applyFont="0" applyFill="0" applyBorder="0" applyAlignment="0" applyProtection="0"/>
  </cellStyleXfs>
  <cellXfs count="155">
    <xf numFmtId="0" fontId="0" fillId="0" borderId="0" xfId="0"/>
    <xf numFmtId="0" fontId="3" fillId="0" borderId="0" xfId="0" applyFont="1" applyAlignment="1" applyProtection="1">
      <alignment wrapText="1"/>
      <protection locked="0"/>
    </xf>
    <xf numFmtId="0" fontId="9" fillId="0" borderId="0" xfId="0" applyFont="1" applyAlignment="1" applyProtection="1">
      <alignment vertical="center"/>
      <protection locked="0"/>
    </xf>
    <xf numFmtId="0" fontId="2" fillId="0" borderId="19" xfId="0" applyFont="1" applyBorder="1" applyAlignment="1" applyProtection="1">
      <alignment vertical="top" wrapText="1"/>
      <protection locked="0"/>
    </xf>
    <xf numFmtId="0" fontId="2" fillId="0" borderId="22" xfId="0" applyFont="1" applyBorder="1" applyAlignment="1" applyProtection="1">
      <alignment horizontal="left" vertical="top" wrapText="1"/>
      <protection locked="0"/>
    </xf>
    <xf numFmtId="0" fontId="2" fillId="0" borderId="0" xfId="0" applyFont="1" applyAlignment="1" applyProtection="1">
      <alignment wrapText="1"/>
      <protection locked="0"/>
    </xf>
    <xf numFmtId="0" fontId="6" fillId="0" borderId="5" xfId="0" applyFont="1" applyBorder="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6" fillId="0" borderId="23" xfId="0" applyFont="1" applyBorder="1" applyAlignment="1" applyProtection="1">
      <alignment horizontal="center" vertical="center"/>
      <protection locked="0"/>
    </xf>
    <xf numFmtId="0" fontId="3" fillId="0" borderId="23" xfId="0" applyFont="1" applyBorder="1" applyAlignment="1" applyProtection="1">
      <alignment horizontal="center" vertical="center" wrapText="1"/>
      <protection locked="0"/>
    </xf>
    <xf numFmtId="0" fontId="6"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wrapText="1"/>
      <protection locked="0"/>
    </xf>
    <xf numFmtId="0" fontId="3" fillId="0" borderId="0" xfId="0" applyFont="1" applyAlignment="1" applyProtection="1">
      <alignment horizontal="left" wrapText="1"/>
      <protection locked="0"/>
    </xf>
    <xf numFmtId="0" fontId="14" fillId="2" borderId="27" xfId="0" applyFont="1" applyFill="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12" fillId="0" borderId="32" xfId="0" applyFont="1" applyBorder="1" applyAlignment="1" applyProtection="1">
      <alignment horizontal="left" vertical="center" wrapText="1"/>
      <protection locked="0"/>
    </xf>
    <xf numFmtId="0" fontId="12" fillId="0" borderId="0" xfId="0" applyFont="1" applyProtection="1">
      <protection locked="0"/>
    </xf>
    <xf numFmtId="0" fontId="12" fillId="0" borderId="34" xfId="0" applyFont="1" applyBorder="1" applyAlignment="1" applyProtection="1">
      <alignment horizontal="left" vertical="center" wrapText="1"/>
      <protection locked="0"/>
    </xf>
    <xf numFmtId="0" fontId="12" fillId="0" borderId="34" xfId="0" applyFont="1" applyBorder="1" applyAlignment="1" applyProtection="1">
      <alignment horizontal="left" vertical="top" wrapText="1"/>
      <protection locked="0"/>
    </xf>
    <xf numFmtId="0" fontId="12" fillId="0" borderId="27" xfId="0" applyFont="1" applyBorder="1" applyAlignment="1" applyProtection="1">
      <alignment horizontal="left" vertical="top" wrapText="1"/>
      <protection locked="0"/>
    </xf>
    <xf numFmtId="0" fontId="12" fillId="2" borderId="0" xfId="0" applyFont="1" applyFill="1" applyProtection="1">
      <protection locked="0"/>
    </xf>
    <xf numFmtId="0" fontId="4" fillId="2" borderId="12" xfId="0" applyFont="1" applyFill="1" applyBorder="1" applyAlignment="1">
      <alignment vertical="center" wrapText="1"/>
    </xf>
    <xf numFmtId="0" fontId="9" fillId="0" borderId="0" xfId="0" applyFont="1" applyAlignment="1">
      <alignment vertical="center"/>
    </xf>
    <xf numFmtId="0" fontId="3" fillId="0" borderId="0" xfId="0" applyFont="1" applyAlignment="1">
      <alignment wrapText="1"/>
    </xf>
    <xf numFmtId="0" fontId="5" fillId="2" borderId="13" xfId="0" applyFont="1" applyFill="1" applyBorder="1" applyAlignment="1">
      <alignment vertical="center" wrapText="1"/>
    </xf>
    <xf numFmtId="0" fontId="4" fillId="2" borderId="13" xfId="0" applyFont="1" applyFill="1" applyBorder="1" applyAlignment="1">
      <alignment vertical="center" wrapText="1"/>
    </xf>
    <xf numFmtId="0" fontId="6" fillId="0" borderId="5" xfId="1" applyFont="1" applyBorder="1" applyAlignment="1">
      <alignment horizontal="center" vertical="center" wrapText="1"/>
    </xf>
    <xf numFmtId="0" fontId="6" fillId="0" borderId="5" xfId="1" applyFont="1" applyBorder="1" applyAlignment="1">
      <alignment horizontal="left" vertical="center" wrapText="1"/>
    </xf>
    <xf numFmtId="0" fontId="6" fillId="0" borderId="5" xfId="0" applyFont="1" applyBorder="1" applyAlignment="1">
      <alignment horizontal="center" vertical="center"/>
    </xf>
    <xf numFmtId="0" fontId="6" fillId="0" borderId="5" xfId="0" applyFont="1" applyBorder="1" applyAlignment="1">
      <alignment horizontal="left" vertical="center" wrapText="1"/>
    </xf>
    <xf numFmtId="0" fontId="3" fillId="0" borderId="5" xfId="0" applyFont="1" applyBorder="1" applyAlignment="1">
      <alignment horizontal="left" vertical="center" wrapText="1"/>
    </xf>
    <xf numFmtId="0" fontId="6" fillId="0" borderId="23" xfId="1" applyFont="1" applyBorder="1" applyAlignment="1">
      <alignment horizontal="center" vertical="center" wrapText="1"/>
    </xf>
    <xf numFmtId="0" fontId="6" fillId="0" borderId="23" xfId="1" applyFont="1" applyBorder="1" applyAlignment="1">
      <alignment horizontal="left" vertical="center" wrapText="1"/>
    </xf>
    <xf numFmtId="0" fontId="6" fillId="0" borderId="23" xfId="0" applyFont="1" applyBorder="1" applyAlignment="1">
      <alignment horizontal="center" vertical="center"/>
    </xf>
    <xf numFmtId="0" fontId="6" fillId="0" borderId="14" xfId="1" applyFont="1" applyBorder="1" applyAlignment="1">
      <alignment horizontal="center" vertical="center" wrapText="1"/>
    </xf>
    <xf numFmtId="0" fontId="6" fillId="0" borderId="14" xfId="1" applyFont="1" applyBorder="1" applyAlignment="1">
      <alignment horizontal="left" vertical="center" wrapText="1"/>
    </xf>
    <xf numFmtId="0" fontId="6" fillId="0" borderId="14" xfId="0" applyFont="1" applyBorder="1" applyAlignment="1">
      <alignment horizontal="center" vertical="center"/>
    </xf>
    <xf numFmtId="0" fontId="10" fillId="0" borderId="10" xfId="0" applyFont="1" applyBorder="1" applyAlignment="1">
      <alignment horizontal="center" vertical="center" wrapText="1"/>
    </xf>
    <xf numFmtId="9" fontId="10" fillId="0" borderId="8" xfId="2" applyFont="1" applyFill="1" applyBorder="1" applyAlignment="1" applyProtection="1">
      <alignment horizontal="center" vertical="center" wrapText="1"/>
    </xf>
    <xf numFmtId="0" fontId="8" fillId="0" borderId="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14" xfId="0" applyFont="1" applyBorder="1" applyAlignment="1">
      <alignment horizontal="center" vertical="center" wrapText="1"/>
    </xf>
    <xf numFmtId="0" fontId="2" fillId="0" borderId="5" xfId="0" applyFont="1"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2" fillId="0" borderId="5" xfId="0" applyFont="1" applyBorder="1" applyAlignment="1">
      <alignment horizontal="center" vertical="center" textRotation="90" wrapText="1"/>
    </xf>
    <xf numFmtId="0" fontId="2" fillId="9" borderId="6"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8" fillId="9" borderId="7"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10" fillId="9" borderId="6" xfId="0" applyFont="1" applyFill="1" applyBorder="1" applyAlignment="1">
      <alignment horizontal="right" vertical="center" wrapText="1"/>
    </xf>
    <xf numFmtId="0" fontId="16" fillId="0" borderId="6" xfId="0" applyFont="1" applyBorder="1" applyAlignment="1">
      <alignment horizontal="center" vertical="center" wrapText="1"/>
    </xf>
    <xf numFmtId="0" fontId="2" fillId="9" borderId="6" xfId="0" applyFont="1" applyFill="1" applyBorder="1" applyAlignment="1">
      <alignment vertical="center" wrapText="1"/>
    </xf>
    <xf numFmtId="0" fontId="3" fillId="0" borderId="0" xfId="0" applyFont="1" applyAlignment="1" applyProtection="1">
      <alignment horizontal="center" wrapText="1"/>
      <protection locked="0"/>
    </xf>
    <xf numFmtId="0" fontId="2" fillId="0" borderId="23" xfId="0" applyFont="1" applyBorder="1" applyAlignment="1" applyProtection="1">
      <alignment horizontal="center" vertical="center" wrapText="1"/>
      <protection locked="0"/>
    </xf>
    <xf numFmtId="0" fontId="13" fillId="2" borderId="26" xfId="0" applyFont="1" applyFill="1" applyBorder="1" applyAlignment="1">
      <alignment horizontal="center" vertical="top" wrapText="1"/>
    </xf>
    <xf numFmtId="0" fontId="13" fillId="2" borderId="27" xfId="0" applyFont="1" applyFill="1" applyBorder="1" applyAlignment="1">
      <alignment horizontal="center" vertical="top" wrapText="1"/>
    </xf>
    <xf numFmtId="0" fontId="12" fillId="2" borderId="0" xfId="0" applyFont="1" applyFill="1" applyAlignment="1">
      <alignment horizontal="left" vertical="top"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4" fillId="5" borderId="29" xfId="0" applyFont="1" applyFill="1" applyBorder="1" applyAlignment="1">
      <alignment horizontal="center" vertical="center" wrapText="1"/>
    </xf>
    <xf numFmtId="0" fontId="14" fillId="4" borderId="29"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2" fillId="2" borderId="31" xfId="0" applyFont="1" applyFill="1" applyBorder="1" applyAlignment="1">
      <alignment horizontal="left" vertical="center" wrapText="1"/>
    </xf>
    <xf numFmtId="0" fontId="5" fillId="6" borderId="23" xfId="0" applyFont="1" applyFill="1" applyBorder="1" applyAlignment="1">
      <alignment horizontal="center" vertical="center" wrapText="1"/>
    </xf>
    <xf numFmtId="0" fontId="5" fillId="7" borderId="23" xfId="0" applyFont="1" applyFill="1" applyBorder="1" applyAlignment="1">
      <alignment horizontal="center" vertical="center" wrapText="1"/>
    </xf>
    <xf numFmtId="0" fontId="5" fillId="8" borderId="23" xfId="0" applyFont="1" applyFill="1" applyBorder="1" applyAlignment="1">
      <alignment horizontal="center" vertical="center" wrapText="1"/>
    </xf>
    <xf numFmtId="0" fontId="5" fillId="0" borderId="23" xfId="0" applyFont="1" applyBorder="1" applyAlignment="1">
      <alignment horizontal="center" vertical="center" wrapText="1"/>
    </xf>
    <xf numFmtId="0" fontId="12" fillId="0" borderId="32" xfId="0" applyFont="1" applyBorder="1" applyAlignment="1">
      <alignment horizontal="left" vertical="center" wrapText="1"/>
    </xf>
    <xf numFmtId="0" fontId="12" fillId="2" borderId="33" xfId="0" applyFont="1" applyFill="1" applyBorder="1" applyAlignment="1">
      <alignment horizontal="left" vertical="center" wrapText="1"/>
    </xf>
    <xf numFmtId="0" fontId="5" fillId="6"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12" fillId="0" borderId="34" xfId="0" applyFont="1" applyBorder="1" applyAlignment="1">
      <alignment horizontal="left" vertical="center" wrapText="1"/>
    </xf>
    <xf numFmtId="0" fontId="5" fillId="0" borderId="5" xfId="0" applyFont="1" applyBorder="1" applyAlignment="1">
      <alignment horizontal="center" vertical="center" wrapText="1"/>
    </xf>
    <xf numFmtId="0" fontId="12" fillId="2" borderId="33" xfId="0" applyFont="1" applyFill="1" applyBorder="1" applyAlignment="1">
      <alignment horizontal="left" vertical="top" wrapText="1"/>
    </xf>
    <xf numFmtId="0" fontId="5" fillId="6" borderId="5" xfId="0" applyFont="1" applyFill="1" applyBorder="1" applyAlignment="1">
      <alignment horizontal="center" vertical="top" wrapText="1"/>
    </xf>
    <xf numFmtId="0" fontId="5" fillId="7" borderId="5" xfId="0" applyFont="1" applyFill="1" applyBorder="1" applyAlignment="1">
      <alignment horizontal="center" vertical="top" wrapText="1"/>
    </xf>
    <xf numFmtId="0" fontId="5" fillId="8" borderId="5" xfId="0" applyFont="1" applyFill="1" applyBorder="1" applyAlignment="1">
      <alignment horizontal="center" vertical="top" wrapText="1"/>
    </xf>
    <xf numFmtId="0" fontId="5" fillId="0" borderId="5" xfId="0" applyFont="1" applyBorder="1" applyAlignment="1">
      <alignment horizontal="center" vertical="top" wrapText="1"/>
    </xf>
    <xf numFmtId="0" fontId="12" fillId="0" borderId="34" xfId="0" applyFont="1" applyBorder="1" applyAlignment="1">
      <alignment horizontal="left" vertical="top" wrapText="1"/>
    </xf>
    <xf numFmtId="0" fontId="12" fillId="2" borderId="30" xfId="0" applyFont="1" applyFill="1" applyBorder="1" applyAlignment="1">
      <alignment horizontal="left" vertical="center" wrapText="1"/>
    </xf>
    <xf numFmtId="0" fontId="12" fillId="3" borderId="5" xfId="0" applyFont="1" applyFill="1" applyBorder="1" applyAlignment="1">
      <alignment horizontal="center" vertical="top" wrapText="1"/>
    </xf>
    <xf numFmtId="0" fontId="12" fillId="5" borderId="5" xfId="0" applyFont="1" applyFill="1" applyBorder="1" applyAlignment="1">
      <alignment horizontal="center" vertical="top" wrapText="1"/>
    </xf>
    <xf numFmtId="0" fontId="12" fillId="4" borderId="5" xfId="0" applyFont="1" applyFill="1" applyBorder="1" applyAlignment="1">
      <alignment horizontal="center" vertical="top" wrapText="1"/>
    </xf>
    <xf numFmtId="0" fontId="12" fillId="0" borderId="5" xfId="0" applyFont="1" applyBorder="1" applyAlignment="1">
      <alignment horizontal="center" vertical="top" wrapText="1"/>
    </xf>
    <xf numFmtId="0" fontId="12" fillId="2" borderId="16" xfId="0" applyFont="1" applyFill="1" applyBorder="1" applyAlignment="1">
      <alignment horizontal="left" vertical="center" wrapText="1"/>
    </xf>
    <xf numFmtId="0" fontId="12" fillId="2" borderId="38" xfId="0" applyFont="1" applyFill="1" applyBorder="1" applyAlignment="1">
      <alignment horizontal="left" vertical="center" wrapText="1"/>
    </xf>
    <xf numFmtId="0" fontId="12" fillId="2" borderId="28" xfId="0" applyFont="1" applyFill="1" applyBorder="1" applyAlignment="1">
      <alignment horizontal="left" vertical="top" wrapText="1"/>
    </xf>
    <xf numFmtId="0" fontId="12" fillId="3" borderId="29" xfId="0" applyFont="1" applyFill="1" applyBorder="1" applyAlignment="1">
      <alignment horizontal="center" vertical="top" wrapText="1"/>
    </xf>
    <xf numFmtId="0" fontId="12" fillId="5" borderId="29" xfId="0" applyFont="1" applyFill="1" applyBorder="1" applyAlignment="1">
      <alignment horizontal="center" vertical="top" wrapText="1"/>
    </xf>
    <xf numFmtId="0" fontId="12" fillId="4" borderId="29" xfId="0" applyFont="1" applyFill="1" applyBorder="1" applyAlignment="1">
      <alignment horizontal="center" vertical="top" wrapText="1"/>
    </xf>
    <xf numFmtId="0" fontId="12" fillId="0" borderId="29" xfId="0" applyFont="1" applyBorder="1" applyAlignment="1">
      <alignment horizontal="center" vertical="top" wrapText="1"/>
    </xf>
    <xf numFmtId="0" fontId="12" fillId="0" borderId="27" xfId="0" applyFont="1" applyBorder="1" applyAlignment="1">
      <alignment horizontal="left" vertical="top" wrapText="1"/>
    </xf>
    <xf numFmtId="0" fontId="8" fillId="0" borderId="14" xfId="1" applyFont="1" applyBorder="1" applyAlignment="1">
      <alignment horizontal="center" vertical="center" textRotation="90" wrapText="1"/>
    </xf>
    <xf numFmtId="0" fontId="8" fillId="0" borderId="15" xfId="1" applyFont="1" applyBorder="1" applyAlignment="1">
      <alignment horizontal="center" vertical="center" textRotation="90" wrapText="1"/>
    </xf>
    <xf numFmtId="0" fontId="8" fillId="0" borderId="23" xfId="1" applyFont="1" applyBorder="1" applyAlignment="1">
      <alignment horizontal="center" vertical="center" textRotation="90" wrapText="1"/>
    </xf>
    <xf numFmtId="0" fontId="8" fillId="0" borderId="5" xfId="1" applyFont="1" applyBorder="1" applyAlignment="1">
      <alignment horizontal="center" vertical="center" textRotation="90" wrapText="1"/>
    </xf>
    <xf numFmtId="0" fontId="2" fillId="0" borderId="5" xfId="0" applyFont="1" applyBorder="1" applyAlignment="1">
      <alignment horizontal="center" vertical="center" textRotation="90" wrapText="1"/>
    </xf>
    <xf numFmtId="0" fontId="2" fillId="0" borderId="23" xfId="0" applyFont="1" applyBorder="1" applyAlignment="1">
      <alignment horizontal="center" vertical="center" textRotation="90" wrapText="1"/>
    </xf>
    <xf numFmtId="0" fontId="2" fillId="0" borderId="19" xfId="0" applyFont="1" applyBorder="1" applyAlignment="1" applyProtection="1">
      <alignment horizontal="left" vertical="top" wrapText="1"/>
      <protection locked="0"/>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0" xfId="0" applyFont="1" applyAlignment="1">
      <alignment horizontal="center" vertical="center" wrapText="1"/>
    </xf>
    <xf numFmtId="0" fontId="2" fillId="0" borderId="14" xfId="0" applyFont="1" applyBorder="1" applyAlignment="1">
      <alignment horizontal="center" vertical="center" textRotation="90" wrapText="1"/>
    </xf>
    <xf numFmtId="0" fontId="2" fillId="0" borderId="15" xfId="0" applyFont="1" applyBorder="1" applyAlignment="1">
      <alignment horizontal="center" vertical="center" textRotation="90" wrapText="1"/>
    </xf>
    <xf numFmtId="0" fontId="2" fillId="0" borderId="18" xfId="0" applyFont="1" applyBorder="1" applyAlignment="1" applyProtection="1">
      <alignment horizontal="left" vertical="top" wrapText="1"/>
      <protection locked="0"/>
    </xf>
    <xf numFmtId="0" fontId="10" fillId="9" borderId="6" xfId="0" applyFont="1" applyFill="1" applyBorder="1" applyAlignment="1">
      <alignment horizontal="right" vertical="center" wrapText="1"/>
    </xf>
    <xf numFmtId="0" fontId="10" fillId="9" borderId="7" xfId="0" applyFont="1" applyFill="1" applyBorder="1" applyAlignment="1">
      <alignment horizontal="right" vertical="center" wrapText="1"/>
    </xf>
    <xf numFmtId="0" fontId="10" fillId="9" borderId="0" xfId="0" applyFont="1" applyFill="1" applyAlignment="1">
      <alignment horizontal="center" vertical="center" wrapText="1"/>
    </xf>
    <xf numFmtId="0" fontId="10" fillId="9" borderId="4" xfId="0" applyFont="1" applyFill="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2" fillId="0" borderId="5" xfId="0" applyFont="1" applyBorder="1" applyAlignment="1" applyProtection="1">
      <alignment horizontal="center" vertical="center" wrapText="1"/>
      <protection locked="0"/>
    </xf>
    <xf numFmtId="0" fontId="2" fillId="0" borderId="23" xfId="0" applyFont="1" applyBorder="1" applyAlignment="1" applyProtection="1">
      <alignment horizontal="center" vertical="center" wrapText="1"/>
      <protection locked="0"/>
    </xf>
    <xf numFmtId="0" fontId="2" fillId="0" borderId="10" xfId="0" applyFont="1" applyBorder="1" applyAlignment="1">
      <alignment horizontal="left" vertical="top" wrapText="1"/>
    </xf>
    <xf numFmtId="0" fontId="2" fillId="0" borderId="17" xfId="0" applyFont="1" applyBorder="1" applyAlignment="1">
      <alignment horizontal="left" vertical="top" wrapText="1"/>
    </xf>
    <xf numFmtId="0" fontId="2" fillId="0" borderId="11" xfId="0" applyFont="1" applyBorder="1" applyAlignment="1">
      <alignment horizontal="left" vertical="top" wrapText="1"/>
    </xf>
    <xf numFmtId="0" fontId="2" fillId="0" borderId="9" xfId="0" applyFont="1" applyBorder="1" applyAlignment="1">
      <alignment horizontal="left" vertical="top" wrapText="1"/>
    </xf>
    <xf numFmtId="0" fontId="2" fillId="0" borderId="20" xfId="0" applyFont="1" applyBorder="1" applyAlignment="1" applyProtection="1">
      <alignment horizontal="left" vertical="top" wrapText="1"/>
      <protection locked="0"/>
    </xf>
    <xf numFmtId="0" fontId="2" fillId="0" borderId="21" xfId="0" applyFont="1" applyBorder="1" applyAlignment="1" applyProtection="1">
      <alignment horizontal="left" vertical="top" wrapText="1"/>
      <protection locked="0"/>
    </xf>
    <xf numFmtId="0" fontId="2" fillId="0" borderId="14" xfId="0" applyFont="1" applyBorder="1" applyAlignment="1" applyProtection="1">
      <alignment horizontal="center" vertical="center" wrapText="1"/>
      <protection locked="0"/>
    </xf>
    <xf numFmtId="0" fontId="4" fillId="2" borderId="24"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4" fillId="2" borderId="25"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38" xfId="0" applyFont="1" applyFill="1" applyBorder="1" applyAlignment="1">
      <alignment horizontal="left" vertical="center" wrapText="1"/>
    </xf>
    <xf numFmtId="0" fontId="5" fillId="2" borderId="34" xfId="0" applyFont="1" applyFill="1" applyBorder="1" applyAlignment="1">
      <alignment horizontal="left" vertical="center" wrapText="1"/>
    </xf>
    <xf numFmtId="0" fontId="4" fillId="2" borderId="28" xfId="0" applyFont="1" applyFill="1" applyBorder="1" applyAlignment="1">
      <alignment horizontal="left" vertical="center" wrapText="1"/>
    </xf>
    <xf numFmtId="0" fontId="4" fillId="2" borderId="44"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0" fillId="0" borderId="39"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0" fontId="12" fillId="2" borderId="16" xfId="0" applyFont="1" applyFill="1" applyBorder="1" applyAlignment="1">
      <alignment horizontal="left" vertical="center" wrapText="1"/>
    </xf>
    <xf numFmtId="0" fontId="12" fillId="2" borderId="35" xfId="0" applyFont="1" applyFill="1" applyBorder="1" applyAlignment="1">
      <alignment horizontal="left" vertical="center" wrapText="1"/>
    </xf>
    <xf numFmtId="0" fontId="2" fillId="0" borderId="10" xfId="0" applyFont="1" applyBorder="1" applyAlignment="1" applyProtection="1">
      <alignment horizontal="left" vertical="top" wrapText="1"/>
      <protection locked="0"/>
    </xf>
    <xf numFmtId="0" fontId="2" fillId="0" borderId="17"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13" fillId="2" borderId="23" xfId="0" applyFont="1" applyFill="1" applyBorder="1" applyAlignment="1">
      <alignment horizontal="center" vertical="top" wrapText="1"/>
    </xf>
    <xf numFmtId="0" fontId="14" fillId="2" borderId="35" xfId="0" applyFont="1" applyFill="1" applyBorder="1" applyAlignment="1">
      <alignment horizontal="center" vertical="top"/>
    </xf>
    <xf numFmtId="0" fontId="14" fillId="2" borderId="32" xfId="0" applyFont="1" applyFill="1" applyBorder="1" applyAlignment="1">
      <alignment horizontal="center" vertical="top"/>
    </xf>
    <xf numFmtId="0" fontId="4" fillId="2" borderId="22" xfId="0" applyFont="1" applyFill="1" applyBorder="1" applyAlignment="1">
      <alignment horizontal="left" vertical="center" wrapText="1"/>
    </xf>
    <xf numFmtId="0" fontId="4" fillId="2" borderId="36" xfId="0" applyFont="1" applyFill="1" applyBorder="1" applyAlignment="1">
      <alignment horizontal="left" vertical="center" wrapText="1"/>
    </xf>
    <xf numFmtId="0" fontId="4" fillId="2" borderId="32" xfId="0" applyFont="1" applyFill="1" applyBorder="1" applyAlignment="1">
      <alignment horizontal="left" vertical="center" wrapText="1"/>
    </xf>
    <xf numFmtId="0" fontId="4" fillId="2" borderId="37" xfId="0" applyFont="1" applyFill="1" applyBorder="1" applyAlignment="1">
      <alignment horizontal="left" vertical="center" wrapText="1"/>
    </xf>
    <xf numFmtId="0" fontId="2" fillId="0" borderId="45" xfId="0" applyFont="1" applyBorder="1" applyAlignment="1" applyProtection="1">
      <alignment horizontal="left" vertical="top" wrapText="1"/>
      <protection locked="0"/>
    </xf>
    <xf numFmtId="0" fontId="2" fillId="0" borderId="9" xfId="0" applyFont="1" applyBorder="1" applyAlignment="1" applyProtection="1">
      <alignment horizontal="left" vertical="top" wrapText="1"/>
      <protection locked="0"/>
    </xf>
    <xf numFmtId="0" fontId="13" fillId="2" borderId="31" xfId="0" applyFont="1" applyFill="1" applyBorder="1" applyAlignment="1">
      <alignment horizontal="center" vertical="top" wrapText="1"/>
    </xf>
    <xf numFmtId="0" fontId="14" fillId="2" borderId="23" xfId="0" applyFont="1" applyFill="1" applyBorder="1" applyAlignment="1">
      <alignment horizontal="center" vertical="top" wrapText="1"/>
    </xf>
    <xf numFmtId="0" fontId="12" fillId="2" borderId="30" xfId="0" applyFont="1" applyFill="1" applyBorder="1" applyAlignment="1">
      <alignment horizontal="left" vertical="center" wrapText="1"/>
    </xf>
  </cellXfs>
  <cellStyles count="3">
    <cellStyle name="Normal" xfId="0" builtinId="0"/>
    <cellStyle name="Normal_Sheet1" xfId="1" xr:uid="{00000000-0005-0000-0000-00000100000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87086</xdr:colOff>
      <xdr:row>0</xdr:row>
      <xdr:rowOff>73479</xdr:rowOff>
    </xdr:from>
    <xdr:to>
      <xdr:col>1</xdr:col>
      <xdr:colOff>394607</xdr:colOff>
      <xdr:row>2</xdr:row>
      <xdr:rowOff>217715</xdr:rowOff>
    </xdr:to>
    <xdr:pic>
      <xdr:nvPicPr>
        <xdr:cNvPr id="2" name="Picture 4" descr="Description: E:\Company Logos\Bagmane logo copy.jp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086" y="73479"/>
          <a:ext cx="1028700" cy="6613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76201</xdr:rowOff>
    </xdr:from>
    <xdr:to>
      <xdr:col>1</xdr:col>
      <xdr:colOff>28575</xdr:colOff>
      <xdr:row>2</xdr:row>
      <xdr:rowOff>209550</xdr:rowOff>
    </xdr:to>
    <xdr:pic>
      <xdr:nvPicPr>
        <xdr:cNvPr id="2" name="Picture 4" descr="Description: E:\Company Logos\Bagmane logo copy.jp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6201"/>
          <a:ext cx="752475" cy="628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3"/>
  <sheetViews>
    <sheetView tabSelected="1" view="pageBreakPreview" zoomScale="69" zoomScaleNormal="100" zoomScaleSheetLayoutView="69" workbookViewId="0">
      <selection activeCell="F6" sqref="F6"/>
    </sheetView>
  </sheetViews>
  <sheetFormatPr defaultColWidth="9.1796875" defaultRowHeight="14.5" x14ac:dyDescent="0.35"/>
  <cols>
    <col min="1" max="1" width="10.7265625" style="1" customWidth="1"/>
    <col min="2" max="2" width="6.7265625" style="1" bestFit="1" customWidth="1"/>
    <col min="3" max="3" width="58.54296875" style="13" customWidth="1"/>
    <col min="4" max="4" width="19.26953125" style="1" customWidth="1"/>
    <col min="5" max="5" width="25.81640625" style="1" customWidth="1"/>
    <col min="6" max="6" width="17.7265625" style="1" customWidth="1"/>
    <col min="7" max="7" width="12.453125" style="1" customWidth="1"/>
    <col min="8" max="8" width="56.453125" style="1" customWidth="1"/>
    <col min="9" max="9" width="50.81640625" style="1" customWidth="1"/>
    <col min="10" max="16384" width="9.1796875" style="1"/>
  </cols>
  <sheetData>
    <row r="1" spans="1:12" s="24" customFormat="1" ht="20.25" customHeight="1" x14ac:dyDescent="0.35">
      <c r="A1" s="102" t="s">
        <v>531</v>
      </c>
      <c r="B1" s="103"/>
      <c r="C1" s="103"/>
      <c r="D1" s="103"/>
      <c r="E1" s="103"/>
      <c r="F1" s="103"/>
      <c r="G1" s="103"/>
      <c r="H1" s="103"/>
      <c r="I1" s="22" t="s">
        <v>533</v>
      </c>
      <c r="J1" s="23" t="s">
        <v>204</v>
      </c>
      <c r="K1" s="23">
        <v>1</v>
      </c>
      <c r="L1" s="23">
        <v>0</v>
      </c>
    </row>
    <row r="2" spans="1:12" s="24" customFormat="1" ht="20.25" customHeight="1" x14ac:dyDescent="0.35">
      <c r="A2" s="104"/>
      <c r="B2" s="105"/>
      <c r="C2" s="105"/>
      <c r="D2" s="105"/>
      <c r="E2" s="105"/>
      <c r="F2" s="105"/>
      <c r="G2" s="105"/>
      <c r="H2" s="105"/>
      <c r="I2" s="25" t="s">
        <v>547</v>
      </c>
    </row>
    <row r="3" spans="1:12" s="24" customFormat="1" ht="20.25" customHeight="1" thickBot="1" x14ac:dyDescent="0.4">
      <c r="A3" s="104"/>
      <c r="B3" s="105"/>
      <c r="C3" s="105"/>
      <c r="D3" s="105"/>
      <c r="E3" s="105"/>
      <c r="F3" s="105"/>
      <c r="G3" s="105"/>
      <c r="H3" s="105"/>
      <c r="I3" s="26" t="s">
        <v>548</v>
      </c>
    </row>
    <row r="4" spans="1:12" s="5" customFormat="1" ht="52.5" customHeight="1" thickBot="1" x14ac:dyDescent="0.4">
      <c r="A4" s="108" t="s">
        <v>201</v>
      </c>
      <c r="B4" s="101"/>
      <c r="C4" s="101"/>
      <c r="D4" s="3" t="s">
        <v>45</v>
      </c>
      <c r="E4" s="121" t="s">
        <v>2</v>
      </c>
      <c r="F4" s="122"/>
      <c r="G4" s="101" t="s">
        <v>0</v>
      </c>
      <c r="H4" s="101"/>
      <c r="I4" s="4" t="s">
        <v>1</v>
      </c>
    </row>
    <row r="5" spans="1:12" s="53" customFormat="1" ht="47.25" customHeight="1" thickBot="1" x14ac:dyDescent="0.4">
      <c r="A5" s="46" t="s">
        <v>9</v>
      </c>
      <c r="B5" s="47" t="s">
        <v>3</v>
      </c>
      <c r="C5" s="47" t="s">
        <v>4</v>
      </c>
      <c r="D5" s="48" t="s">
        <v>203</v>
      </c>
      <c r="E5" s="48" t="s">
        <v>206</v>
      </c>
      <c r="F5" s="48" t="s">
        <v>205</v>
      </c>
      <c r="G5" s="48" t="s">
        <v>202</v>
      </c>
      <c r="H5" s="47" t="s">
        <v>5</v>
      </c>
      <c r="I5" s="49" t="s">
        <v>54</v>
      </c>
      <c r="J5" s="53" t="s">
        <v>549</v>
      </c>
    </row>
    <row r="6" spans="1:12" s="8" customFormat="1" ht="51.75" customHeight="1" x14ac:dyDescent="0.35">
      <c r="A6" s="99" t="s">
        <v>20</v>
      </c>
      <c r="B6" s="27">
        <v>1</v>
      </c>
      <c r="C6" s="28" t="s">
        <v>21</v>
      </c>
      <c r="D6" s="29">
        <f t="shared" ref="D6:D15" si="0">IF(E6="NA","0",E6)</f>
        <v>0</v>
      </c>
      <c r="E6" s="6"/>
      <c r="F6" s="6"/>
      <c r="G6" s="40">
        <f t="shared" ref="G6:G15" si="1">IF(E6="NA","",F6)</f>
        <v>0</v>
      </c>
      <c r="H6" s="7"/>
      <c r="I6" s="7"/>
    </row>
    <row r="7" spans="1:12" s="8" customFormat="1" ht="51.75" customHeight="1" x14ac:dyDescent="0.35">
      <c r="A7" s="99"/>
      <c r="B7" s="27">
        <v>2</v>
      </c>
      <c r="C7" s="28" t="s">
        <v>67</v>
      </c>
      <c r="D7" s="29">
        <f t="shared" si="0"/>
        <v>0</v>
      </c>
      <c r="E7" s="6"/>
      <c r="F7" s="6"/>
      <c r="G7" s="40">
        <f t="shared" si="1"/>
        <v>0</v>
      </c>
      <c r="H7" s="7"/>
      <c r="I7" s="7"/>
    </row>
    <row r="8" spans="1:12" s="8" customFormat="1" ht="51.75" customHeight="1" x14ac:dyDescent="0.35">
      <c r="A8" s="99"/>
      <c r="B8" s="27">
        <v>3</v>
      </c>
      <c r="C8" s="28" t="s">
        <v>106</v>
      </c>
      <c r="D8" s="29">
        <f t="shared" si="0"/>
        <v>0</v>
      </c>
      <c r="E8" s="6"/>
      <c r="F8" s="6"/>
      <c r="G8" s="40">
        <f t="shared" si="1"/>
        <v>0</v>
      </c>
      <c r="H8" s="7"/>
      <c r="I8" s="7"/>
    </row>
    <row r="9" spans="1:12" s="8" customFormat="1" ht="51.75" customHeight="1" x14ac:dyDescent="0.35">
      <c r="A9" s="99"/>
      <c r="B9" s="27">
        <v>4</v>
      </c>
      <c r="C9" s="30" t="s">
        <v>74</v>
      </c>
      <c r="D9" s="29">
        <f t="shared" si="0"/>
        <v>0</v>
      </c>
      <c r="E9" s="6"/>
      <c r="F9" s="6"/>
      <c r="G9" s="40">
        <f t="shared" si="1"/>
        <v>0</v>
      </c>
      <c r="H9" s="7"/>
      <c r="I9" s="7"/>
    </row>
    <row r="10" spans="1:12" s="8" customFormat="1" ht="51.75" customHeight="1" x14ac:dyDescent="0.35">
      <c r="A10" s="99"/>
      <c r="B10" s="27">
        <v>5</v>
      </c>
      <c r="C10" s="28" t="s">
        <v>72</v>
      </c>
      <c r="D10" s="29">
        <f t="shared" si="0"/>
        <v>0</v>
      </c>
      <c r="E10" s="6"/>
      <c r="F10" s="6"/>
      <c r="G10" s="40">
        <f t="shared" si="1"/>
        <v>0</v>
      </c>
      <c r="H10" s="7"/>
      <c r="I10" s="7"/>
    </row>
    <row r="11" spans="1:12" s="8" customFormat="1" ht="48" customHeight="1" x14ac:dyDescent="0.35">
      <c r="A11" s="99"/>
      <c r="B11" s="27">
        <v>6</v>
      </c>
      <c r="C11" s="28" t="s">
        <v>289</v>
      </c>
      <c r="D11" s="29">
        <f t="shared" si="0"/>
        <v>0</v>
      </c>
      <c r="E11" s="6"/>
      <c r="F11" s="6"/>
      <c r="G11" s="40">
        <f t="shared" si="1"/>
        <v>0</v>
      </c>
      <c r="H11" s="7"/>
      <c r="I11" s="7"/>
    </row>
    <row r="12" spans="1:12" s="8" customFormat="1" ht="48" customHeight="1" x14ac:dyDescent="0.35">
      <c r="A12" s="99"/>
      <c r="B12" s="27">
        <v>7</v>
      </c>
      <c r="C12" s="28" t="s">
        <v>66</v>
      </c>
      <c r="D12" s="29">
        <f t="shared" si="0"/>
        <v>0</v>
      </c>
      <c r="E12" s="6"/>
      <c r="F12" s="6"/>
      <c r="G12" s="40">
        <f t="shared" si="1"/>
        <v>0</v>
      </c>
      <c r="H12" s="7"/>
      <c r="I12" s="7"/>
    </row>
    <row r="13" spans="1:12" s="8" customFormat="1" ht="48" customHeight="1" x14ac:dyDescent="0.35">
      <c r="A13" s="99"/>
      <c r="B13" s="27">
        <v>8</v>
      </c>
      <c r="C13" s="28" t="s">
        <v>294</v>
      </c>
      <c r="D13" s="29">
        <f t="shared" si="0"/>
        <v>0</v>
      </c>
      <c r="E13" s="6"/>
      <c r="F13" s="6"/>
      <c r="G13" s="40">
        <f t="shared" si="1"/>
        <v>0</v>
      </c>
      <c r="H13" s="7"/>
      <c r="I13" s="7"/>
    </row>
    <row r="14" spans="1:12" s="8" customFormat="1" ht="48" customHeight="1" x14ac:dyDescent="0.35">
      <c r="A14" s="99"/>
      <c r="B14" s="27">
        <v>9</v>
      </c>
      <c r="C14" s="28" t="s">
        <v>70</v>
      </c>
      <c r="D14" s="29">
        <f t="shared" si="0"/>
        <v>0</v>
      </c>
      <c r="E14" s="6"/>
      <c r="F14" s="6"/>
      <c r="G14" s="40">
        <f t="shared" si="1"/>
        <v>0</v>
      </c>
      <c r="H14" s="7"/>
      <c r="I14" s="7"/>
    </row>
    <row r="15" spans="1:12" s="8" customFormat="1" ht="48" customHeight="1" x14ac:dyDescent="0.35">
      <c r="A15" s="99"/>
      <c r="B15" s="27">
        <v>10</v>
      </c>
      <c r="C15" s="30" t="s">
        <v>79</v>
      </c>
      <c r="D15" s="29">
        <f t="shared" si="0"/>
        <v>0</v>
      </c>
      <c r="E15" s="6"/>
      <c r="F15" s="6"/>
      <c r="G15" s="40">
        <f t="shared" si="1"/>
        <v>0</v>
      </c>
      <c r="H15" s="7"/>
      <c r="I15" s="7"/>
    </row>
    <row r="16" spans="1:12" s="8" customFormat="1" ht="48.75" customHeight="1" x14ac:dyDescent="0.35">
      <c r="A16" s="99" t="s">
        <v>14</v>
      </c>
      <c r="B16" s="27">
        <v>1</v>
      </c>
      <c r="C16" s="28" t="s">
        <v>15</v>
      </c>
      <c r="D16" s="29">
        <f t="shared" ref="D16:D55" si="2">IF(E16="NA","0",E16)</f>
        <v>0</v>
      </c>
      <c r="E16" s="6"/>
      <c r="F16" s="6"/>
      <c r="G16" s="40">
        <f t="shared" ref="G16:G55" si="3">IF(E16="NA","",F16)</f>
        <v>0</v>
      </c>
      <c r="H16" s="7"/>
      <c r="I16" s="7"/>
    </row>
    <row r="17" spans="1:9" s="8" customFormat="1" ht="48.75" customHeight="1" x14ac:dyDescent="0.35">
      <c r="A17" s="99"/>
      <c r="B17" s="27">
        <v>2</v>
      </c>
      <c r="C17" s="28" t="s">
        <v>67</v>
      </c>
      <c r="D17" s="29">
        <f t="shared" si="2"/>
        <v>0</v>
      </c>
      <c r="E17" s="6"/>
      <c r="F17" s="6"/>
      <c r="G17" s="40">
        <f t="shared" si="3"/>
        <v>0</v>
      </c>
      <c r="H17" s="7"/>
      <c r="I17" s="7"/>
    </row>
    <row r="18" spans="1:9" s="8" customFormat="1" ht="48.75" customHeight="1" x14ac:dyDescent="0.35">
      <c r="A18" s="99"/>
      <c r="B18" s="27">
        <v>3</v>
      </c>
      <c r="C18" s="28" t="s">
        <v>72</v>
      </c>
      <c r="D18" s="29">
        <f t="shared" si="2"/>
        <v>0</v>
      </c>
      <c r="E18" s="6"/>
      <c r="F18" s="6"/>
      <c r="G18" s="40">
        <f t="shared" si="3"/>
        <v>0</v>
      </c>
      <c r="H18" s="7"/>
      <c r="I18" s="7"/>
    </row>
    <row r="19" spans="1:9" s="8" customFormat="1" ht="48.75" customHeight="1" x14ac:dyDescent="0.35">
      <c r="A19" s="99"/>
      <c r="B19" s="27">
        <v>4</v>
      </c>
      <c r="C19" s="28" t="s">
        <v>106</v>
      </c>
      <c r="D19" s="29">
        <f t="shared" si="2"/>
        <v>0</v>
      </c>
      <c r="E19" s="6"/>
      <c r="F19" s="6"/>
      <c r="G19" s="40">
        <f t="shared" si="3"/>
        <v>0</v>
      </c>
      <c r="H19" s="7"/>
      <c r="I19" s="7"/>
    </row>
    <row r="20" spans="1:9" s="8" customFormat="1" ht="51.75" customHeight="1" x14ac:dyDescent="0.35">
      <c r="A20" s="99"/>
      <c r="B20" s="27">
        <v>5</v>
      </c>
      <c r="C20" s="28" t="s">
        <v>69</v>
      </c>
      <c r="D20" s="29">
        <f t="shared" si="2"/>
        <v>0</v>
      </c>
      <c r="E20" s="6"/>
      <c r="F20" s="6"/>
      <c r="G20" s="40">
        <f t="shared" si="3"/>
        <v>0</v>
      </c>
      <c r="H20" s="7"/>
      <c r="I20" s="7"/>
    </row>
    <row r="21" spans="1:9" s="8" customFormat="1" ht="51.75" customHeight="1" x14ac:dyDescent="0.35">
      <c r="A21" s="99"/>
      <c r="B21" s="27">
        <v>6</v>
      </c>
      <c r="C21" s="28" t="s">
        <v>66</v>
      </c>
      <c r="D21" s="29">
        <f t="shared" si="2"/>
        <v>0</v>
      </c>
      <c r="E21" s="6"/>
      <c r="F21" s="6"/>
      <c r="G21" s="40">
        <f t="shared" si="3"/>
        <v>0</v>
      </c>
      <c r="H21" s="7"/>
      <c r="I21" s="7"/>
    </row>
    <row r="22" spans="1:9" s="8" customFormat="1" ht="51.75" customHeight="1" x14ac:dyDescent="0.35">
      <c r="A22" s="99"/>
      <c r="B22" s="27">
        <v>7</v>
      </c>
      <c r="C22" s="28" t="s">
        <v>294</v>
      </c>
      <c r="D22" s="29">
        <f t="shared" si="2"/>
        <v>0</v>
      </c>
      <c r="E22" s="6"/>
      <c r="F22" s="6"/>
      <c r="G22" s="40">
        <f t="shared" si="3"/>
        <v>0</v>
      </c>
      <c r="H22" s="7"/>
      <c r="I22" s="7"/>
    </row>
    <row r="23" spans="1:9" s="8" customFormat="1" ht="51.75" customHeight="1" x14ac:dyDescent="0.35">
      <c r="A23" s="99"/>
      <c r="B23" s="27">
        <v>8</v>
      </c>
      <c r="C23" s="28" t="s">
        <v>84</v>
      </c>
      <c r="D23" s="29">
        <f t="shared" si="2"/>
        <v>0</v>
      </c>
      <c r="E23" s="6"/>
      <c r="F23" s="6"/>
      <c r="G23" s="40">
        <f t="shared" si="3"/>
        <v>0</v>
      </c>
      <c r="H23" s="7"/>
      <c r="I23" s="7"/>
    </row>
    <row r="24" spans="1:9" s="8" customFormat="1" ht="51.75" customHeight="1" x14ac:dyDescent="0.35">
      <c r="A24" s="99"/>
      <c r="B24" s="27">
        <v>9</v>
      </c>
      <c r="C24" s="30" t="s">
        <v>78</v>
      </c>
      <c r="D24" s="29">
        <f t="shared" si="2"/>
        <v>0</v>
      </c>
      <c r="E24" s="6"/>
      <c r="F24" s="6"/>
      <c r="G24" s="40">
        <f t="shared" si="3"/>
        <v>0</v>
      </c>
      <c r="H24" s="7"/>
      <c r="I24" s="7"/>
    </row>
    <row r="25" spans="1:9" s="8" customFormat="1" ht="51.75" customHeight="1" x14ac:dyDescent="0.35">
      <c r="A25" s="99"/>
      <c r="B25" s="27">
        <v>10</v>
      </c>
      <c r="C25" s="30" t="s">
        <v>79</v>
      </c>
      <c r="D25" s="29">
        <f t="shared" si="2"/>
        <v>0</v>
      </c>
      <c r="E25" s="6"/>
      <c r="F25" s="6"/>
      <c r="G25" s="40">
        <f t="shared" si="3"/>
        <v>0</v>
      </c>
      <c r="H25" s="7"/>
      <c r="I25" s="7"/>
    </row>
    <row r="26" spans="1:9" s="8" customFormat="1" ht="46.5" customHeight="1" x14ac:dyDescent="0.35">
      <c r="A26" s="99" t="s">
        <v>18</v>
      </c>
      <c r="B26" s="27">
        <v>1</v>
      </c>
      <c r="C26" s="28" t="s">
        <v>19</v>
      </c>
      <c r="D26" s="29">
        <f t="shared" ref="D26:D45" si="4">IF(E26="NA","0",E26)</f>
        <v>0</v>
      </c>
      <c r="E26" s="6"/>
      <c r="F26" s="6"/>
      <c r="G26" s="40">
        <f t="shared" ref="G26:G45" si="5">IF(E26="NA","",F26)</f>
        <v>0</v>
      </c>
      <c r="H26" s="7"/>
      <c r="I26" s="7"/>
    </row>
    <row r="27" spans="1:9" s="8" customFormat="1" ht="46.5" customHeight="1" x14ac:dyDescent="0.35">
      <c r="A27" s="99"/>
      <c r="B27" s="27">
        <v>2</v>
      </c>
      <c r="C27" s="28" t="s">
        <v>67</v>
      </c>
      <c r="D27" s="29">
        <f t="shared" si="4"/>
        <v>0</v>
      </c>
      <c r="E27" s="6"/>
      <c r="F27" s="6"/>
      <c r="G27" s="40">
        <f t="shared" si="5"/>
        <v>0</v>
      </c>
      <c r="H27" s="7"/>
      <c r="I27" s="7"/>
    </row>
    <row r="28" spans="1:9" s="8" customFormat="1" ht="46.5" customHeight="1" x14ac:dyDescent="0.35">
      <c r="A28" s="99"/>
      <c r="B28" s="27">
        <v>3</v>
      </c>
      <c r="C28" s="28" t="s">
        <v>106</v>
      </c>
      <c r="D28" s="29">
        <f t="shared" si="4"/>
        <v>0</v>
      </c>
      <c r="E28" s="6"/>
      <c r="F28" s="6"/>
      <c r="G28" s="40">
        <f t="shared" si="5"/>
        <v>0</v>
      </c>
      <c r="H28" s="7"/>
      <c r="I28" s="7"/>
    </row>
    <row r="29" spans="1:9" s="8" customFormat="1" ht="46.5" customHeight="1" x14ac:dyDescent="0.35">
      <c r="A29" s="99"/>
      <c r="B29" s="27">
        <v>4</v>
      </c>
      <c r="C29" s="30" t="s">
        <v>88</v>
      </c>
      <c r="D29" s="29">
        <f t="shared" ref="D29" si="6">IF(E29="NA","0",E29)</f>
        <v>0</v>
      </c>
      <c r="E29" s="6"/>
      <c r="F29" s="6"/>
      <c r="G29" s="40">
        <f t="shared" ref="G29" si="7">IF(E29="NA","",F29)</f>
        <v>0</v>
      </c>
      <c r="H29" s="7"/>
      <c r="I29" s="7"/>
    </row>
    <row r="30" spans="1:9" s="8" customFormat="1" ht="65.25" customHeight="1" x14ac:dyDescent="0.35">
      <c r="A30" s="99"/>
      <c r="B30" s="27">
        <v>5</v>
      </c>
      <c r="C30" s="28" t="s">
        <v>86</v>
      </c>
      <c r="D30" s="29">
        <f t="shared" ref="D30" si="8">IF(E30="NA","0",E30)</f>
        <v>0</v>
      </c>
      <c r="E30" s="6"/>
      <c r="F30" s="6"/>
      <c r="G30" s="40">
        <f t="shared" ref="G30" si="9">IF(E30="NA","",F30)</f>
        <v>0</v>
      </c>
      <c r="H30" s="7"/>
      <c r="I30" s="7"/>
    </row>
    <row r="31" spans="1:9" s="8" customFormat="1" ht="46.5" customHeight="1" x14ac:dyDescent="0.35">
      <c r="A31" s="99"/>
      <c r="B31" s="27">
        <v>6</v>
      </c>
      <c r="C31" s="28" t="s">
        <v>89</v>
      </c>
      <c r="D31" s="29">
        <f t="shared" si="4"/>
        <v>0</v>
      </c>
      <c r="E31" s="6"/>
      <c r="F31" s="6"/>
      <c r="G31" s="40">
        <f t="shared" si="5"/>
        <v>0</v>
      </c>
      <c r="H31" s="7"/>
      <c r="I31" s="7"/>
    </row>
    <row r="32" spans="1:9" s="8" customFormat="1" ht="46.5" customHeight="1" x14ac:dyDescent="0.35">
      <c r="A32" s="99"/>
      <c r="B32" s="27">
        <v>7</v>
      </c>
      <c r="C32" s="28" t="s">
        <v>90</v>
      </c>
      <c r="D32" s="29">
        <f t="shared" si="4"/>
        <v>0</v>
      </c>
      <c r="E32" s="6"/>
      <c r="F32" s="6"/>
      <c r="G32" s="40">
        <f t="shared" si="5"/>
        <v>0</v>
      </c>
      <c r="H32" s="7"/>
      <c r="I32" s="7"/>
    </row>
    <row r="33" spans="1:9" s="8" customFormat="1" ht="46.5" customHeight="1" x14ac:dyDescent="0.35">
      <c r="A33" s="99"/>
      <c r="B33" s="27">
        <v>8</v>
      </c>
      <c r="C33" s="28" t="s">
        <v>91</v>
      </c>
      <c r="D33" s="29">
        <f t="shared" si="4"/>
        <v>0</v>
      </c>
      <c r="E33" s="6"/>
      <c r="F33" s="6"/>
      <c r="G33" s="40">
        <f t="shared" si="5"/>
        <v>0</v>
      </c>
      <c r="H33" s="7"/>
      <c r="I33" s="7"/>
    </row>
    <row r="34" spans="1:9" s="8" customFormat="1" ht="46.5" customHeight="1" x14ac:dyDescent="0.35">
      <c r="A34" s="99"/>
      <c r="B34" s="27">
        <v>9</v>
      </c>
      <c r="C34" s="28" t="s">
        <v>93</v>
      </c>
      <c r="D34" s="29">
        <f t="shared" si="4"/>
        <v>0</v>
      </c>
      <c r="E34" s="6"/>
      <c r="F34" s="6"/>
      <c r="G34" s="40">
        <f t="shared" si="5"/>
        <v>0</v>
      </c>
      <c r="H34" s="7"/>
      <c r="I34" s="7"/>
    </row>
    <row r="35" spans="1:9" s="8" customFormat="1" ht="46.5" customHeight="1" x14ac:dyDescent="0.35">
      <c r="A35" s="99"/>
      <c r="B35" s="27">
        <v>10</v>
      </c>
      <c r="C35" s="28" t="s">
        <v>92</v>
      </c>
      <c r="D35" s="29">
        <f t="shared" si="4"/>
        <v>0</v>
      </c>
      <c r="E35" s="6"/>
      <c r="F35" s="6"/>
      <c r="G35" s="40">
        <f t="shared" si="5"/>
        <v>0</v>
      </c>
      <c r="H35" s="7"/>
      <c r="I35" s="7"/>
    </row>
    <row r="36" spans="1:9" s="8" customFormat="1" ht="46.5" customHeight="1" x14ac:dyDescent="0.35">
      <c r="A36" s="99"/>
      <c r="B36" s="27">
        <v>11</v>
      </c>
      <c r="C36" s="28" t="s">
        <v>96</v>
      </c>
      <c r="D36" s="29">
        <f t="shared" si="4"/>
        <v>0</v>
      </c>
      <c r="E36" s="6"/>
      <c r="F36" s="6"/>
      <c r="G36" s="40">
        <f t="shared" si="5"/>
        <v>0</v>
      </c>
      <c r="H36" s="7"/>
      <c r="I36" s="7"/>
    </row>
    <row r="37" spans="1:9" s="8" customFormat="1" ht="51.75" customHeight="1" x14ac:dyDescent="0.35">
      <c r="A37" s="99"/>
      <c r="B37" s="27">
        <v>12</v>
      </c>
      <c r="C37" s="28" t="s">
        <v>294</v>
      </c>
      <c r="D37" s="29">
        <f t="shared" si="4"/>
        <v>0</v>
      </c>
      <c r="E37" s="6"/>
      <c r="F37" s="6"/>
      <c r="G37" s="40">
        <f t="shared" si="5"/>
        <v>0</v>
      </c>
      <c r="H37" s="7"/>
      <c r="I37" s="7"/>
    </row>
    <row r="38" spans="1:9" s="8" customFormat="1" ht="51.75" customHeight="1" x14ac:dyDescent="0.35">
      <c r="A38" s="99"/>
      <c r="B38" s="27">
        <v>13</v>
      </c>
      <c r="C38" s="28" t="s">
        <v>290</v>
      </c>
      <c r="D38" s="29">
        <f t="shared" si="4"/>
        <v>0</v>
      </c>
      <c r="E38" s="6"/>
      <c r="F38" s="6"/>
      <c r="G38" s="40">
        <f t="shared" si="5"/>
        <v>0</v>
      </c>
      <c r="H38" s="7"/>
      <c r="I38" s="7"/>
    </row>
    <row r="39" spans="1:9" s="8" customFormat="1" ht="51.75" customHeight="1" x14ac:dyDescent="0.35">
      <c r="A39" s="99"/>
      <c r="B39" s="27">
        <v>14</v>
      </c>
      <c r="C39" s="30" t="s">
        <v>94</v>
      </c>
      <c r="D39" s="29">
        <f t="shared" si="4"/>
        <v>0</v>
      </c>
      <c r="E39" s="6"/>
      <c r="F39" s="6"/>
      <c r="G39" s="40">
        <f t="shared" si="5"/>
        <v>0</v>
      </c>
      <c r="H39" s="7"/>
      <c r="I39" s="7"/>
    </row>
    <row r="40" spans="1:9" s="8" customFormat="1" ht="51.75" customHeight="1" x14ac:dyDescent="0.35">
      <c r="A40" s="99"/>
      <c r="B40" s="27">
        <v>15</v>
      </c>
      <c r="C40" s="30" t="s">
        <v>95</v>
      </c>
      <c r="D40" s="29">
        <f t="shared" si="4"/>
        <v>0</v>
      </c>
      <c r="E40" s="6"/>
      <c r="F40" s="6"/>
      <c r="G40" s="40">
        <f t="shared" si="5"/>
        <v>0</v>
      </c>
      <c r="H40" s="7"/>
      <c r="I40" s="7"/>
    </row>
    <row r="41" spans="1:9" s="8" customFormat="1" ht="51.75" customHeight="1" x14ac:dyDescent="0.35">
      <c r="A41" s="99"/>
      <c r="B41" s="27">
        <v>16</v>
      </c>
      <c r="C41" s="28" t="s">
        <v>291</v>
      </c>
      <c r="D41" s="29">
        <f t="shared" si="4"/>
        <v>0</v>
      </c>
      <c r="E41" s="6"/>
      <c r="F41" s="6"/>
      <c r="G41" s="40">
        <f t="shared" si="5"/>
        <v>0</v>
      </c>
      <c r="H41" s="7"/>
      <c r="I41" s="7"/>
    </row>
    <row r="42" spans="1:9" s="8" customFormat="1" ht="51.75" customHeight="1" x14ac:dyDescent="0.35">
      <c r="A42" s="99"/>
      <c r="B42" s="27">
        <v>17</v>
      </c>
      <c r="C42" s="28" t="s">
        <v>48</v>
      </c>
      <c r="D42" s="29">
        <f t="shared" si="4"/>
        <v>0</v>
      </c>
      <c r="E42" s="6"/>
      <c r="F42" s="6"/>
      <c r="G42" s="40">
        <f t="shared" si="5"/>
        <v>0</v>
      </c>
      <c r="H42" s="7"/>
      <c r="I42" s="7"/>
    </row>
    <row r="43" spans="1:9" s="8" customFormat="1" ht="51.75" customHeight="1" x14ac:dyDescent="0.35">
      <c r="A43" s="99"/>
      <c r="B43" s="27">
        <v>18</v>
      </c>
      <c r="C43" s="28" t="s">
        <v>87</v>
      </c>
      <c r="D43" s="29">
        <f t="shared" si="4"/>
        <v>0</v>
      </c>
      <c r="E43" s="6"/>
      <c r="F43" s="6"/>
      <c r="G43" s="40">
        <f t="shared" si="5"/>
        <v>0</v>
      </c>
      <c r="H43" s="7"/>
      <c r="I43" s="7"/>
    </row>
    <row r="44" spans="1:9" s="8" customFormat="1" ht="51.75" customHeight="1" x14ac:dyDescent="0.35">
      <c r="A44" s="99"/>
      <c r="B44" s="27">
        <v>19</v>
      </c>
      <c r="C44" s="28" t="s">
        <v>98</v>
      </c>
      <c r="D44" s="29">
        <f t="shared" si="4"/>
        <v>0</v>
      </c>
      <c r="E44" s="6"/>
      <c r="F44" s="6"/>
      <c r="G44" s="40">
        <f t="shared" si="5"/>
        <v>0</v>
      </c>
      <c r="H44" s="7"/>
      <c r="I44" s="7"/>
    </row>
    <row r="45" spans="1:9" s="8" customFormat="1" ht="51.75" customHeight="1" x14ac:dyDescent="0.35">
      <c r="A45" s="99"/>
      <c r="B45" s="27">
        <v>20</v>
      </c>
      <c r="C45" s="30" t="s">
        <v>79</v>
      </c>
      <c r="D45" s="29">
        <f t="shared" si="4"/>
        <v>0</v>
      </c>
      <c r="E45" s="6"/>
      <c r="F45" s="6"/>
      <c r="G45" s="40">
        <f t="shared" si="5"/>
        <v>0</v>
      </c>
      <c r="H45" s="7"/>
      <c r="I45" s="7"/>
    </row>
    <row r="46" spans="1:9" s="8" customFormat="1" ht="51.75" customHeight="1" x14ac:dyDescent="0.35">
      <c r="A46" s="99" t="s">
        <v>16</v>
      </c>
      <c r="B46" s="27">
        <v>1</v>
      </c>
      <c r="C46" s="28" t="s">
        <v>17</v>
      </c>
      <c r="D46" s="29">
        <f t="shared" si="2"/>
        <v>0</v>
      </c>
      <c r="E46" s="6"/>
      <c r="F46" s="6"/>
      <c r="G46" s="40">
        <f t="shared" si="3"/>
        <v>0</v>
      </c>
      <c r="H46" s="7"/>
      <c r="I46" s="7"/>
    </row>
    <row r="47" spans="1:9" s="8" customFormat="1" ht="51.75" customHeight="1" x14ac:dyDescent="0.35">
      <c r="A47" s="99"/>
      <c r="B47" s="27">
        <v>2</v>
      </c>
      <c r="C47" s="28" t="s">
        <v>67</v>
      </c>
      <c r="D47" s="29">
        <f t="shared" si="2"/>
        <v>0</v>
      </c>
      <c r="E47" s="6"/>
      <c r="F47" s="6"/>
      <c r="G47" s="40">
        <f t="shared" si="3"/>
        <v>0</v>
      </c>
      <c r="H47" s="7"/>
      <c r="I47" s="7"/>
    </row>
    <row r="48" spans="1:9" s="8" customFormat="1" ht="51.75" customHeight="1" x14ac:dyDescent="0.35">
      <c r="A48" s="99"/>
      <c r="B48" s="27">
        <v>3</v>
      </c>
      <c r="C48" s="28" t="s">
        <v>108</v>
      </c>
      <c r="D48" s="29">
        <f t="shared" ref="D48" si="10">IF(E48="NA","0",E48)</f>
        <v>0</v>
      </c>
      <c r="E48" s="6"/>
      <c r="F48" s="6"/>
      <c r="G48" s="40">
        <f t="shared" ref="G48" si="11">IF(E48="NA","",F48)</f>
        <v>0</v>
      </c>
      <c r="H48" s="7"/>
      <c r="I48" s="7"/>
    </row>
    <row r="49" spans="1:9" s="8" customFormat="1" ht="65.25" customHeight="1" x14ac:dyDescent="0.35">
      <c r="A49" s="99"/>
      <c r="B49" s="27">
        <v>4</v>
      </c>
      <c r="C49" s="28" t="s">
        <v>86</v>
      </c>
      <c r="D49" s="29">
        <f t="shared" ref="D49" si="12">IF(E49="NA","0",E49)</f>
        <v>0</v>
      </c>
      <c r="E49" s="6"/>
      <c r="F49" s="6"/>
      <c r="G49" s="40">
        <f t="shared" ref="G49" si="13">IF(E49="NA","",F49)</f>
        <v>0</v>
      </c>
      <c r="H49" s="7"/>
      <c r="I49" s="7"/>
    </row>
    <row r="50" spans="1:9" s="8" customFormat="1" ht="51.75" customHeight="1" x14ac:dyDescent="0.35">
      <c r="A50" s="99"/>
      <c r="B50" s="27">
        <v>5</v>
      </c>
      <c r="C50" s="28" t="s">
        <v>290</v>
      </c>
      <c r="D50" s="29">
        <f t="shared" si="2"/>
        <v>0</v>
      </c>
      <c r="E50" s="6"/>
      <c r="F50" s="6"/>
      <c r="G50" s="40">
        <f t="shared" si="3"/>
        <v>0</v>
      </c>
      <c r="H50" s="7"/>
      <c r="I50" s="7"/>
    </row>
    <row r="51" spans="1:9" s="8" customFormat="1" ht="51.75" customHeight="1" x14ac:dyDescent="0.35">
      <c r="A51" s="99"/>
      <c r="B51" s="27">
        <v>6</v>
      </c>
      <c r="C51" s="30" t="s">
        <v>292</v>
      </c>
      <c r="D51" s="29">
        <f t="shared" si="2"/>
        <v>0</v>
      </c>
      <c r="E51" s="6"/>
      <c r="F51" s="6"/>
      <c r="G51" s="40">
        <f t="shared" si="3"/>
        <v>0</v>
      </c>
      <c r="H51" s="7"/>
      <c r="I51" s="7"/>
    </row>
    <row r="52" spans="1:9" s="8" customFormat="1" ht="46.5" customHeight="1" x14ac:dyDescent="0.35">
      <c r="A52" s="99"/>
      <c r="B52" s="27">
        <v>7</v>
      </c>
      <c r="C52" s="28" t="s">
        <v>97</v>
      </c>
      <c r="D52" s="29">
        <f t="shared" si="2"/>
        <v>0</v>
      </c>
      <c r="E52" s="6"/>
      <c r="F52" s="6"/>
      <c r="G52" s="40">
        <f t="shared" si="3"/>
        <v>0</v>
      </c>
      <c r="H52" s="7"/>
      <c r="I52" s="7"/>
    </row>
    <row r="53" spans="1:9" s="8" customFormat="1" ht="46.5" customHeight="1" x14ac:dyDescent="0.35">
      <c r="A53" s="99"/>
      <c r="B53" s="27">
        <v>8</v>
      </c>
      <c r="C53" s="28" t="s">
        <v>293</v>
      </c>
      <c r="D53" s="29">
        <f t="shared" si="2"/>
        <v>0</v>
      </c>
      <c r="E53" s="6"/>
      <c r="F53" s="6"/>
      <c r="G53" s="40">
        <f t="shared" si="3"/>
        <v>0</v>
      </c>
      <c r="H53" s="7"/>
      <c r="I53" s="7"/>
    </row>
    <row r="54" spans="1:9" s="8" customFormat="1" ht="46.5" customHeight="1" x14ac:dyDescent="0.35">
      <c r="A54" s="99"/>
      <c r="B54" s="27">
        <v>9</v>
      </c>
      <c r="C54" s="28" t="s">
        <v>87</v>
      </c>
      <c r="D54" s="29">
        <f t="shared" si="2"/>
        <v>0</v>
      </c>
      <c r="E54" s="6"/>
      <c r="F54" s="6"/>
      <c r="G54" s="40">
        <f t="shared" si="3"/>
        <v>0</v>
      </c>
      <c r="H54" s="7"/>
      <c r="I54" s="7"/>
    </row>
    <row r="55" spans="1:9" s="8" customFormat="1" ht="46.5" customHeight="1" x14ac:dyDescent="0.35">
      <c r="A55" s="99"/>
      <c r="B55" s="27">
        <v>10</v>
      </c>
      <c r="C55" s="28" t="s">
        <v>98</v>
      </c>
      <c r="D55" s="29">
        <f t="shared" si="2"/>
        <v>0</v>
      </c>
      <c r="E55" s="6"/>
      <c r="F55" s="6"/>
      <c r="G55" s="40">
        <f t="shared" si="3"/>
        <v>0</v>
      </c>
      <c r="H55" s="7"/>
      <c r="I55" s="7"/>
    </row>
    <row r="56" spans="1:9" s="8" customFormat="1" ht="50.25" customHeight="1" x14ac:dyDescent="0.35">
      <c r="A56" s="106" t="s">
        <v>31</v>
      </c>
      <c r="B56" s="27">
        <v>1</v>
      </c>
      <c r="C56" s="28" t="s">
        <v>296</v>
      </c>
      <c r="D56" s="29">
        <f t="shared" ref="D56:D70" si="14">IF(E56="NA","0",E56)</f>
        <v>0</v>
      </c>
      <c r="E56" s="6"/>
      <c r="F56" s="6"/>
      <c r="G56" s="40">
        <f t="shared" ref="G56:G69" si="15">IF(E56="NA","",F56)</f>
        <v>0</v>
      </c>
      <c r="H56" s="7"/>
      <c r="I56" s="7"/>
    </row>
    <row r="57" spans="1:9" s="8" customFormat="1" ht="50.25" customHeight="1" x14ac:dyDescent="0.35">
      <c r="A57" s="107"/>
      <c r="B57" s="27">
        <v>2</v>
      </c>
      <c r="C57" s="28" t="s">
        <v>67</v>
      </c>
      <c r="D57" s="29">
        <f t="shared" si="14"/>
        <v>0</v>
      </c>
      <c r="E57" s="6"/>
      <c r="F57" s="6"/>
      <c r="G57" s="40">
        <f t="shared" si="15"/>
        <v>0</v>
      </c>
      <c r="H57" s="7"/>
      <c r="I57" s="7"/>
    </row>
    <row r="58" spans="1:9" s="8" customFormat="1" ht="50.25" customHeight="1" x14ac:dyDescent="0.35">
      <c r="A58" s="107"/>
      <c r="B58" s="27">
        <v>3</v>
      </c>
      <c r="C58" s="28" t="s">
        <v>106</v>
      </c>
      <c r="D58" s="29">
        <f t="shared" si="14"/>
        <v>0</v>
      </c>
      <c r="E58" s="6"/>
      <c r="F58" s="6"/>
      <c r="G58" s="40">
        <f t="shared" si="15"/>
        <v>0</v>
      </c>
      <c r="H58" s="7"/>
      <c r="I58" s="7"/>
    </row>
    <row r="59" spans="1:9" s="8" customFormat="1" ht="65.25" customHeight="1" x14ac:dyDescent="0.35">
      <c r="A59" s="107"/>
      <c r="B59" s="27">
        <v>4</v>
      </c>
      <c r="C59" s="28" t="s">
        <v>86</v>
      </c>
      <c r="D59" s="29">
        <f t="shared" si="14"/>
        <v>0</v>
      </c>
      <c r="E59" s="6"/>
      <c r="F59" s="6"/>
      <c r="G59" s="40">
        <f t="shared" si="15"/>
        <v>0</v>
      </c>
      <c r="H59" s="7"/>
      <c r="I59" s="7"/>
    </row>
    <row r="60" spans="1:9" s="8" customFormat="1" ht="50.25" customHeight="1" x14ac:dyDescent="0.35">
      <c r="A60" s="107"/>
      <c r="B60" s="27">
        <v>5</v>
      </c>
      <c r="C60" s="28" t="s">
        <v>295</v>
      </c>
      <c r="D60" s="29">
        <f t="shared" si="14"/>
        <v>0</v>
      </c>
      <c r="E60" s="6"/>
      <c r="F60" s="6"/>
      <c r="G60" s="40">
        <f t="shared" si="15"/>
        <v>0</v>
      </c>
      <c r="H60" s="7"/>
      <c r="I60" s="7"/>
    </row>
    <row r="61" spans="1:9" s="8" customFormat="1" ht="50.25" customHeight="1" x14ac:dyDescent="0.35">
      <c r="A61" s="107"/>
      <c r="B61" s="27">
        <v>6</v>
      </c>
      <c r="C61" s="28" t="s">
        <v>256</v>
      </c>
      <c r="D61" s="29">
        <f t="shared" si="14"/>
        <v>0</v>
      </c>
      <c r="E61" s="6"/>
      <c r="F61" s="6"/>
      <c r="G61" s="40">
        <f t="shared" si="15"/>
        <v>0</v>
      </c>
      <c r="H61" s="7"/>
      <c r="I61" s="7"/>
    </row>
    <row r="62" spans="1:9" s="8" customFormat="1" ht="50.25" customHeight="1" x14ac:dyDescent="0.35">
      <c r="A62" s="107"/>
      <c r="B62" s="27">
        <v>7</v>
      </c>
      <c r="C62" s="28" t="s">
        <v>299</v>
      </c>
      <c r="D62" s="29">
        <f t="shared" si="14"/>
        <v>0</v>
      </c>
      <c r="E62" s="6"/>
      <c r="F62" s="6"/>
      <c r="G62" s="40">
        <f t="shared" si="15"/>
        <v>0</v>
      </c>
      <c r="H62" s="7"/>
      <c r="I62" s="7"/>
    </row>
    <row r="63" spans="1:9" s="8" customFormat="1" ht="50.25" customHeight="1" x14ac:dyDescent="0.35">
      <c r="A63" s="107"/>
      <c r="B63" s="27">
        <v>8</v>
      </c>
      <c r="C63" s="28" t="s">
        <v>300</v>
      </c>
      <c r="D63" s="29">
        <f t="shared" si="14"/>
        <v>0</v>
      </c>
      <c r="E63" s="6"/>
      <c r="F63" s="6"/>
      <c r="G63" s="40">
        <f t="shared" si="15"/>
        <v>0</v>
      </c>
      <c r="H63" s="7"/>
      <c r="I63" s="7"/>
    </row>
    <row r="64" spans="1:9" s="8" customFormat="1" ht="64.5" customHeight="1" x14ac:dyDescent="0.35">
      <c r="A64" s="107"/>
      <c r="B64" s="27">
        <v>9</v>
      </c>
      <c r="C64" s="28" t="s">
        <v>301</v>
      </c>
      <c r="D64" s="29">
        <f t="shared" si="14"/>
        <v>0</v>
      </c>
      <c r="E64" s="6"/>
      <c r="F64" s="6"/>
      <c r="G64" s="40">
        <f t="shared" si="15"/>
        <v>0</v>
      </c>
      <c r="H64" s="7"/>
      <c r="I64" s="7"/>
    </row>
    <row r="65" spans="1:9" s="8" customFormat="1" ht="50.25" customHeight="1" x14ac:dyDescent="0.35">
      <c r="A65" s="107"/>
      <c r="B65" s="27">
        <v>10</v>
      </c>
      <c r="C65" s="28" t="s">
        <v>116</v>
      </c>
      <c r="D65" s="29">
        <f t="shared" si="14"/>
        <v>0</v>
      </c>
      <c r="E65" s="6"/>
      <c r="F65" s="6"/>
      <c r="G65" s="40">
        <f t="shared" si="15"/>
        <v>0</v>
      </c>
      <c r="H65" s="7"/>
      <c r="I65" s="7"/>
    </row>
    <row r="66" spans="1:9" s="8" customFormat="1" ht="50.25" customHeight="1" x14ac:dyDescent="0.35">
      <c r="A66" s="107"/>
      <c r="B66" s="27">
        <v>11</v>
      </c>
      <c r="C66" s="28" t="s">
        <v>302</v>
      </c>
      <c r="D66" s="29">
        <f t="shared" si="14"/>
        <v>0</v>
      </c>
      <c r="E66" s="6"/>
      <c r="F66" s="6"/>
      <c r="G66" s="40">
        <f t="shared" si="15"/>
        <v>0</v>
      </c>
      <c r="H66" s="7"/>
      <c r="I66" s="7"/>
    </row>
    <row r="67" spans="1:9" s="8" customFormat="1" ht="50.25" customHeight="1" x14ac:dyDescent="0.35">
      <c r="A67" s="107"/>
      <c r="B67" s="27">
        <v>12</v>
      </c>
      <c r="C67" s="28" t="s">
        <v>117</v>
      </c>
      <c r="D67" s="29">
        <f t="shared" si="14"/>
        <v>0</v>
      </c>
      <c r="E67" s="6"/>
      <c r="F67" s="6"/>
      <c r="G67" s="40">
        <f t="shared" si="15"/>
        <v>0</v>
      </c>
      <c r="H67" s="7"/>
      <c r="I67" s="7"/>
    </row>
    <row r="68" spans="1:9" s="8" customFormat="1" ht="50.25" customHeight="1" x14ac:dyDescent="0.35">
      <c r="A68" s="107"/>
      <c r="B68" s="27">
        <v>13</v>
      </c>
      <c r="C68" s="30" t="s">
        <v>118</v>
      </c>
      <c r="D68" s="29">
        <f t="shared" si="14"/>
        <v>0</v>
      </c>
      <c r="E68" s="6"/>
      <c r="F68" s="6"/>
      <c r="G68" s="40">
        <f t="shared" si="15"/>
        <v>0</v>
      </c>
      <c r="H68" s="7"/>
      <c r="I68" s="7"/>
    </row>
    <row r="69" spans="1:9" s="8" customFormat="1" ht="50.25" customHeight="1" x14ac:dyDescent="0.35">
      <c r="A69" s="107"/>
      <c r="B69" s="27">
        <v>14</v>
      </c>
      <c r="C69" s="28" t="s">
        <v>62</v>
      </c>
      <c r="D69" s="29">
        <f t="shared" si="14"/>
        <v>0</v>
      </c>
      <c r="E69" s="6"/>
      <c r="F69" s="6"/>
      <c r="G69" s="40">
        <f t="shared" si="15"/>
        <v>0</v>
      </c>
      <c r="H69" s="7"/>
      <c r="I69" s="7"/>
    </row>
    <row r="70" spans="1:9" s="8" customFormat="1" ht="50.25" customHeight="1" x14ac:dyDescent="0.35">
      <c r="A70" s="107"/>
      <c r="B70" s="27">
        <v>15</v>
      </c>
      <c r="C70" s="28" t="s">
        <v>79</v>
      </c>
      <c r="D70" s="29">
        <f t="shared" si="14"/>
        <v>0</v>
      </c>
      <c r="E70" s="6"/>
      <c r="F70" s="6"/>
      <c r="G70" s="40">
        <f t="shared" ref="G70" si="16">IF(E70="NA","",F70)</f>
        <v>0</v>
      </c>
      <c r="H70" s="7"/>
      <c r="I70" s="7"/>
    </row>
    <row r="71" spans="1:9" s="8" customFormat="1" ht="49.5" customHeight="1" x14ac:dyDescent="0.35">
      <c r="A71" s="99" t="s">
        <v>29</v>
      </c>
      <c r="B71" s="27">
        <v>1</v>
      </c>
      <c r="C71" s="28" t="s">
        <v>105</v>
      </c>
      <c r="D71" s="29">
        <f t="shared" ref="D71:D85" si="17">IF(E71="NA","0",E71)</f>
        <v>0</v>
      </c>
      <c r="E71" s="6"/>
      <c r="F71" s="6"/>
      <c r="G71" s="40">
        <f t="shared" ref="G71:G85" si="18">IF(E71="NA","",F71)</f>
        <v>0</v>
      </c>
      <c r="H71" s="7"/>
      <c r="I71" s="7"/>
    </row>
    <row r="72" spans="1:9" s="8" customFormat="1" ht="49.5" customHeight="1" x14ac:dyDescent="0.35">
      <c r="A72" s="99"/>
      <c r="B72" s="27">
        <v>2</v>
      </c>
      <c r="C72" s="28" t="s">
        <v>67</v>
      </c>
      <c r="D72" s="29">
        <f t="shared" si="17"/>
        <v>0</v>
      </c>
      <c r="E72" s="6"/>
      <c r="F72" s="6"/>
      <c r="G72" s="40">
        <f t="shared" si="18"/>
        <v>0</v>
      </c>
      <c r="H72" s="7"/>
      <c r="I72" s="7"/>
    </row>
    <row r="73" spans="1:9" s="8" customFormat="1" ht="49.5" customHeight="1" x14ac:dyDescent="0.35">
      <c r="A73" s="99"/>
      <c r="B73" s="27">
        <v>3</v>
      </c>
      <c r="C73" s="28" t="s">
        <v>106</v>
      </c>
      <c r="D73" s="29">
        <f t="shared" si="17"/>
        <v>0</v>
      </c>
      <c r="E73" s="6"/>
      <c r="F73" s="6"/>
      <c r="G73" s="40">
        <f t="shared" si="18"/>
        <v>0</v>
      </c>
      <c r="H73" s="7"/>
      <c r="I73" s="7"/>
    </row>
    <row r="74" spans="1:9" s="8" customFormat="1" ht="65.25" customHeight="1" x14ac:dyDescent="0.35">
      <c r="A74" s="99"/>
      <c r="B74" s="27">
        <v>4</v>
      </c>
      <c r="C74" s="28" t="s">
        <v>86</v>
      </c>
      <c r="D74" s="29">
        <f t="shared" si="17"/>
        <v>0</v>
      </c>
      <c r="E74" s="6"/>
      <c r="F74" s="6"/>
      <c r="G74" s="40">
        <f t="shared" si="18"/>
        <v>0</v>
      </c>
      <c r="H74" s="7"/>
      <c r="I74" s="7"/>
    </row>
    <row r="75" spans="1:9" s="8" customFormat="1" ht="49.5" customHeight="1" x14ac:dyDescent="0.35">
      <c r="A75" s="99"/>
      <c r="B75" s="27">
        <v>5</v>
      </c>
      <c r="C75" s="28" t="s">
        <v>303</v>
      </c>
      <c r="D75" s="29">
        <f t="shared" si="17"/>
        <v>0</v>
      </c>
      <c r="E75" s="6"/>
      <c r="F75" s="6"/>
      <c r="G75" s="40">
        <f t="shared" si="18"/>
        <v>0</v>
      </c>
      <c r="H75" s="7"/>
      <c r="I75" s="7"/>
    </row>
    <row r="76" spans="1:9" s="8" customFormat="1" ht="50.25" customHeight="1" x14ac:dyDescent="0.35">
      <c r="A76" s="99"/>
      <c r="B76" s="27">
        <v>6</v>
      </c>
      <c r="C76" s="28" t="s">
        <v>304</v>
      </c>
      <c r="D76" s="29">
        <f t="shared" si="17"/>
        <v>0</v>
      </c>
      <c r="E76" s="6"/>
      <c r="F76" s="6"/>
      <c r="G76" s="40">
        <f t="shared" si="18"/>
        <v>0</v>
      </c>
      <c r="H76" s="7"/>
      <c r="I76" s="7"/>
    </row>
    <row r="77" spans="1:9" s="8" customFormat="1" ht="50.25" customHeight="1" x14ac:dyDescent="0.35">
      <c r="A77" s="99"/>
      <c r="B77" s="27">
        <v>7</v>
      </c>
      <c r="C77" s="28" t="s">
        <v>305</v>
      </c>
      <c r="D77" s="29">
        <f t="shared" si="17"/>
        <v>0</v>
      </c>
      <c r="E77" s="6"/>
      <c r="F77" s="6"/>
      <c r="G77" s="40">
        <f t="shared" si="18"/>
        <v>0</v>
      </c>
      <c r="H77" s="7"/>
      <c r="I77" s="7"/>
    </row>
    <row r="78" spans="1:9" s="8" customFormat="1" ht="50.25" customHeight="1" x14ac:dyDescent="0.35">
      <c r="A78" s="99"/>
      <c r="B78" s="27">
        <v>8</v>
      </c>
      <c r="C78" s="28" t="s">
        <v>146</v>
      </c>
      <c r="D78" s="29">
        <f t="shared" si="17"/>
        <v>0</v>
      </c>
      <c r="E78" s="6"/>
      <c r="F78" s="6"/>
      <c r="G78" s="40">
        <f t="shared" si="18"/>
        <v>0</v>
      </c>
      <c r="H78" s="7"/>
      <c r="I78" s="7"/>
    </row>
    <row r="79" spans="1:9" s="8" customFormat="1" ht="50.25" customHeight="1" x14ac:dyDescent="0.35">
      <c r="A79" s="99"/>
      <c r="B79" s="27">
        <v>9</v>
      </c>
      <c r="C79" s="28" t="s">
        <v>62</v>
      </c>
      <c r="D79" s="29">
        <f t="shared" si="17"/>
        <v>0</v>
      </c>
      <c r="E79" s="6"/>
      <c r="F79" s="6"/>
      <c r="G79" s="40">
        <f t="shared" si="18"/>
        <v>0</v>
      </c>
      <c r="H79" s="7"/>
      <c r="I79" s="7"/>
    </row>
    <row r="80" spans="1:9" s="8" customFormat="1" ht="50.25" customHeight="1" x14ac:dyDescent="0.35">
      <c r="A80" s="99"/>
      <c r="B80" s="27">
        <v>10</v>
      </c>
      <c r="C80" s="28" t="s">
        <v>118</v>
      </c>
      <c r="D80" s="29">
        <f t="shared" si="17"/>
        <v>0</v>
      </c>
      <c r="E80" s="6"/>
      <c r="F80" s="6"/>
      <c r="G80" s="40">
        <f t="shared" si="18"/>
        <v>0</v>
      </c>
      <c r="H80" s="7"/>
      <c r="I80" s="7"/>
    </row>
    <row r="81" spans="1:9" s="8" customFormat="1" ht="50.25" customHeight="1" x14ac:dyDescent="0.35">
      <c r="A81" s="99" t="s">
        <v>30</v>
      </c>
      <c r="B81" s="27">
        <v>1</v>
      </c>
      <c r="C81" s="30" t="s">
        <v>28</v>
      </c>
      <c r="D81" s="29">
        <f t="shared" si="17"/>
        <v>0</v>
      </c>
      <c r="E81" s="6"/>
      <c r="F81" s="6"/>
      <c r="G81" s="40">
        <f t="shared" si="18"/>
        <v>0</v>
      </c>
      <c r="H81" s="7"/>
      <c r="I81" s="7"/>
    </row>
    <row r="82" spans="1:9" s="8" customFormat="1" ht="50.25" customHeight="1" x14ac:dyDescent="0.35">
      <c r="A82" s="99"/>
      <c r="B82" s="27">
        <v>2</v>
      </c>
      <c r="C82" s="28" t="s">
        <v>67</v>
      </c>
      <c r="D82" s="29">
        <f t="shared" si="17"/>
        <v>0</v>
      </c>
      <c r="E82" s="6"/>
      <c r="F82" s="6"/>
      <c r="G82" s="40">
        <f t="shared" si="18"/>
        <v>0</v>
      </c>
      <c r="H82" s="7"/>
      <c r="I82" s="7"/>
    </row>
    <row r="83" spans="1:9" s="8" customFormat="1" ht="50.25" customHeight="1" x14ac:dyDescent="0.35">
      <c r="A83" s="99"/>
      <c r="B83" s="27">
        <v>3</v>
      </c>
      <c r="C83" s="28" t="s">
        <v>106</v>
      </c>
      <c r="D83" s="29">
        <f t="shared" si="17"/>
        <v>0</v>
      </c>
      <c r="E83" s="6"/>
      <c r="F83" s="6"/>
      <c r="G83" s="40">
        <f t="shared" si="18"/>
        <v>0</v>
      </c>
      <c r="H83" s="7"/>
      <c r="I83" s="7"/>
    </row>
    <row r="84" spans="1:9" s="8" customFormat="1" ht="50.25" customHeight="1" x14ac:dyDescent="0.35">
      <c r="A84" s="99"/>
      <c r="B84" s="27">
        <v>4</v>
      </c>
      <c r="C84" s="28" t="s">
        <v>303</v>
      </c>
      <c r="D84" s="29">
        <f t="shared" si="17"/>
        <v>0</v>
      </c>
      <c r="E84" s="6"/>
      <c r="F84" s="6"/>
      <c r="G84" s="40">
        <f t="shared" si="18"/>
        <v>0</v>
      </c>
      <c r="H84" s="7"/>
      <c r="I84" s="7"/>
    </row>
    <row r="85" spans="1:9" s="8" customFormat="1" ht="50.25" customHeight="1" x14ac:dyDescent="0.35">
      <c r="A85" s="99"/>
      <c r="B85" s="27">
        <v>5</v>
      </c>
      <c r="C85" s="28" t="s">
        <v>86</v>
      </c>
      <c r="D85" s="29">
        <f t="shared" si="17"/>
        <v>0</v>
      </c>
      <c r="E85" s="6"/>
      <c r="F85" s="6"/>
      <c r="G85" s="40">
        <f t="shared" si="18"/>
        <v>0</v>
      </c>
      <c r="H85" s="7"/>
      <c r="I85" s="7"/>
    </row>
    <row r="86" spans="1:9" s="8" customFormat="1" ht="48" customHeight="1" x14ac:dyDescent="0.35">
      <c r="A86" s="99" t="s">
        <v>22</v>
      </c>
      <c r="B86" s="27">
        <v>1</v>
      </c>
      <c r="C86" s="28" t="s">
        <v>23</v>
      </c>
      <c r="D86" s="29">
        <f t="shared" ref="D86:D125" si="19">IF(E86="NA","0",E86)</f>
        <v>0</v>
      </c>
      <c r="E86" s="6"/>
      <c r="F86" s="6"/>
      <c r="G86" s="40">
        <f t="shared" ref="G86:G125" si="20">IF(E86="NA","",F86)</f>
        <v>0</v>
      </c>
      <c r="H86" s="7"/>
      <c r="I86" s="7"/>
    </row>
    <row r="87" spans="1:9" s="8" customFormat="1" ht="48" customHeight="1" x14ac:dyDescent="0.35">
      <c r="A87" s="99"/>
      <c r="B87" s="27">
        <v>2</v>
      </c>
      <c r="C87" s="28" t="s">
        <v>67</v>
      </c>
      <c r="D87" s="29">
        <f t="shared" si="19"/>
        <v>0</v>
      </c>
      <c r="E87" s="6"/>
      <c r="F87" s="6"/>
      <c r="G87" s="40">
        <f t="shared" si="20"/>
        <v>0</v>
      </c>
      <c r="H87" s="7"/>
      <c r="I87" s="7"/>
    </row>
    <row r="88" spans="1:9" s="8" customFormat="1" ht="48" customHeight="1" x14ac:dyDescent="0.35">
      <c r="A88" s="99"/>
      <c r="B88" s="27">
        <v>3</v>
      </c>
      <c r="C88" s="28" t="s">
        <v>106</v>
      </c>
      <c r="D88" s="29">
        <f t="shared" si="19"/>
        <v>0</v>
      </c>
      <c r="E88" s="6"/>
      <c r="F88" s="6"/>
      <c r="G88" s="40">
        <f t="shared" si="20"/>
        <v>0</v>
      </c>
      <c r="H88" s="7"/>
      <c r="I88" s="7"/>
    </row>
    <row r="89" spans="1:9" s="8" customFormat="1" ht="48" customHeight="1" x14ac:dyDescent="0.35">
      <c r="A89" s="99"/>
      <c r="B89" s="27">
        <v>4</v>
      </c>
      <c r="C89" s="28" t="s">
        <v>72</v>
      </c>
      <c r="D89" s="29">
        <f t="shared" ref="D89" si="21">IF(E89="NA","0",E89)</f>
        <v>0</v>
      </c>
      <c r="E89" s="6"/>
      <c r="F89" s="6"/>
      <c r="G89" s="40">
        <f t="shared" ref="G89" si="22">IF(E89="NA","",F89)</f>
        <v>0</v>
      </c>
      <c r="H89" s="7"/>
      <c r="I89" s="7"/>
    </row>
    <row r="90" spans="1:9" s="8" customFormat="1" ht="48" customHeight="1" x14ac:dyDescent="0.35">
      <c r="A90" s="99"/>
      <c r="B90" s="27">
        <v>5</v>
      </c>
      <c r="C90" s="28" t="s">
        <v>25</v>
      </c>
      <c r="D90" s="29">
        <f t="shared" si="19"/>
        <v>0</v>
      </c>
      <c r="E90" s="6"/>
      <c r="F90" s="6"/>
      <c r="G90" s="40">
        <f t="shared" si="20"/>
        <v>0</v>
      </c>
      <c r="H90" s="7"/>
      <c r="I90" s="7"/>
    </row>
    <row r="91" spans="1:9" s="8" customFormat="1" ht="48" customHeight="1" x14ac:dyDescent="0.35">
      <c r="A91" s="99"/>
      <c r="B91" s="27">
        <v>6</v>
      </c>
      <c r="C91" s="28" t="s">
        <v>306</v>
      </c>
      <c r="D91" s="29">
        <f t="shared" si="19"/>
        <v>0</v>
      </c>
      <c r="E91" s="6"/>
      <c r="F91" s="6"/>
      <c r="G91" s="40">
        <f t="shared" si="20"/>
        <v>0</v>
      </c>
      <c r="H91" s="7"/>
      <c r="I91" s="7"/>
    </row>
    <row r="92" spans="1:9" s="8" customFormat="1" ht="48" customHeight="1" x14ac:dyDescent="0.35">
      <c r="A92" s="99"/>
      <c r="B92" s="27">
        <v>7</v>
      </c>
      <c r="C92" s="28" t="s">
        <v>303</v>
      </c>
      <c r="D92" s="29">
        <f t="shared" si="19"/>
        <v>0</v>
      </c>
      <c r="E92" s="6"/>
      <c r="F92" s="6"/>
      <c r="G92" s="40">
        <f t="shared" si="20"/>
        <v>0</v>
      </c>
      <c r="H92" s="7"/>
      <c r="I92" s="7"/>
    </row>
    <row r="93" spans="1:9" s="8" customFormat="1" ht="48" customHeight="1" x14ac:dyDescent="0.35">
      <c r="A93" s="99"/>
      <c r="B93" s="27">
        <v>8</v>
      </c>
      <c r="C93" s="28" t="s">
        <v>24</v>
      </c>
      <c r="D93" s="29">
        <f t="shared" si="19"/>
        <v>0</v>
      </c>
      <c r="E93" s="6"/>
      <c r="F93" s="6"/>
      <c r="G93" s="40">
        <f t="shared" si="20"/>
        <v>0</v>
      </c>
      <c r="H93" s="7"/>
      <c r="I93" s="7"/>
    </row>
    <row r="94" spans="1:9" s="8" customFormat="1" ht="48" customHeight="1" x14ac:dyDescent="0.35">
      <c r="A94" s="99"/>
      <c r="B94" s="27">
        <v>9</v>
      </c>
      <c r="C94" s="28" t="s">
        <v>307</v>
      </c>
      <c r="D94" s="29">
        <f t="shared" si="19"/>
        <v>0</v>
      </c>
      <c r="E94" s="6"/>
      <c r="F94" s="6"/>
      <c r="G94" s="40">
        <f t="shared" si="20"/>
        <v>0</v>
      </c>
      <c r="H94" s="7"/>
      <c r="I94" s="7"/>
    </row>
    <row r="95" spans="1:9" s="8" customFormat="1" ht="48" customHeight="1" x14ac:dyDescent="0.35">
      <c r="A95" s="99"/>
      <c r="B95" s="27">
        <v>10</v>
      </c>
      <c r="C95" s="28" t="s">
        <v>305</v>
      </c>
      <c r="D95" s="29">
        <f t="shared" si="19"/>
        <v>0</v>
      </c>
      <c r="E95" s="6"/>
      <c r="F95" s="6"/>
      <c r="G95" s="40">
        <f t="shared" si="20"/>
        <v>0</v>
      </c>
      <c r="H95" s="7"/>
      <c r="I95" s="7"/>
    </row>
    <row r="96" spans="1:9" s="8" customFormat="1" ht="48" customHeight="1" x14ac:dyDescent="0.35">
      <c r="A96" s="99"/>
      <c r="B96" s="27">
        <v>11</v>
      </c>
      <c r="C96" s="28" t="s">
        <v>62</v>
      </c>
      <c r="D96" s="29">
        <f t="shared" si="19"/>
        <v>0</v>
      </c>
      <c r="E96" s="6"/>
      <c r="F96" s="6"/>
      <c r="G96" s="40">
        <f t="shared" si="20"/>
        <v>0</v>
      </c>
      <c r="H96" s="7"/>
      <c r="I96" s="7"/>
    </row>
    <row r="97" spans="1:9" s="8" customFormat="1" ht="45.75" customHeight="1" x14ac:dyDescent="0.35">
      <c r="A97" s="99"/>
      <c r="B97" s="27">
        <v>12</v>
      </c>
      <c r="C97" s="28" t="s">
        <v>308</v>
      </c>
      <c r="D97" s="29">
        <f t="shared" si="19"/>
        <v>0</v>
      </c>
      <c r="E97" s="6"/>
      <c r="F97" s="6"/>
      <c r="G97" s="40">
        <f t="shared" si="20"/>
        <v>0</v>
      </c>
      <c r="H97" s="7"/>
      <c r="I97" s="7"/>
    </row>
    <row r="98" spans="1:9" s="8" customFormat="1" ht="48" customHeight="1" x14ac:dyDescent="0.35">
      <c r="A98" s="99"/>
      <c r="B98" s="27">
        <v>13</v>
      </c>
      <c r="C98" s="28" t="s">
        <v>309</v>
      </c>
      <c r="D98" s="29">
        <f t="shared" si="19"/>
        <v>0</v>
      </c>
      <c r="E98" s="6"/>
      <c r="F98" s="6"/>
      <c r="G98" s="40">
        <f t="shared" si="20"/>
        <v>0</v>
      </c>
      <c r="H98" s="7"/>
      <c r="I98" s="7"/>
    </row>
    <row r="99" spans="1:9" s="8" customFormat="1" ht="48" customHeight="1" x14ac:dyDescent="0.35">
      <c r="A99" s="99"/>
      <c r="B99" s="27">
        <v>14</v>
      </c>
      <c r="C99" s="28" t="s">
        <v>104</v>
      </c>
      <c r="D99" s="29">
        <f t="shared" si="19"/>
        <v>0</v>
      </c>
      <c r="E99" s="6"/>
      <c r="F99" s="6"/>
      <c r="G99" s="40">
        <f t="shared" si="20"/>
        <v>0</v>
      </c>
      <c r="H99" s="7"/>
      <c r="I99" s="7"/>
    </row>
    <row r="100" spans="1:9" s="8" customFormat="1" ht="48" customHeight="1" x14ac:dyDescent="0.35">
      <c r="A100" s="99"/>
      <c r="B100" s="27">
        <v>15</v>
      </c>
      <c r="C100" s="28" t="s">
        <v>103</v>
      </c>
      <c r="D100" s="29">
        <f t="shared" si="19"/>
        <v>0</v>
      </c>
      <c r="E100" s="6"/>
      <c r="F100" s="6"/>
      <c r="G100" s="40">
        <f t="shared" si="20"/>
        <v>0</v>
      </c>
      <c r="H100" s="7"/>
      <c r="I100" s="7"/>
    </row>
    <row r="101" spans="1:9" s="8" customFormat="1" ht="44.25" customHeight="1" x14ac:dyDescent="0.35">
      <c r="A101" s="99" t="s">
        <v>26</v>
      </c>
      <c r="B101" s="27">
        <v>1</v>
      </c>
      <c r="C101" s="28" t="s">
        <v>23</v>
      </c>
      <c r="D101" s="29">
        <f t="shared" si="19"/>
        <v>0</v>
      </c>
      <c r="E101" s="6"/>
      <c r="F101" s="6"/>
      <c r="G101" s="40">
        <f t="shared" si="20"/>
        <v>0</v>
      </c>
      <c r="H101" s="7"/>
      <c r="I101" s="7"/>
    </row>
    <row r="102" spans="1:9" s="8" customFormat="1" ht="48" customHeight="1" x14ac:dyDescent="0.35">
      <c r="A102" s="99"/>
      <c r="B102" s="27">
        <v>2</v>
      </c>
      <c r="C102" s="28" t="s">
        <v>67</v>
      </c>
      <c r="D102" s="29">
        <f t="shared" ref="D102:D105" si="23">IF(E102="NA","0",E102)</f>
        <v>0</v>
      </c>
      <c r="E102" s="6"/>
      <c r="F102" s="6"/>
      <c r="G102" s="40">
        <f t="shared" ref="G102:G105" si="24">IF(E102="NA","",F102)</f>
        <v>0</v>
      </c>
      <c r="H102" s="7"/>
      <c r="I102" s="7"/>
    </row>
    <row r="103" spans="1:9" s="8" customFormat="1" ht="48" customHeight="1" x14ac:dyDescent="0.35">
      <c r="A103" s="99"/>
      <c r="B103" s="27">
        <v>3</v>
      </c>
      <c r="C103" s="28" t="s">
        <v>106</v>
      </c>
      <c r="D103" s="29">
        <f t="shared" si="23"/>
        <v>0</v>
      </c>
      <c r="E103" s="6"/>
      <c r="F103" s="6"/>
      <c r="G103" s="40">
        <f t="shared" si="24"/>
        <v>0</v>
      </c>
      <c r="H103" s="7"/>
      <c r="I103" s="7"/>
    </row>
    <row r="104" spans="1:9" s="8" customFormat="1" ht="48" customHeight="1" x14ac:dyDescent="0.35">
      <c r="A104" s="99"/>
      <c r="B104" s="27">
        <v>4</v>
      </c>
      <c r="C104" s="28" t="s">
        <v>303</v>
      </c>
      <c r="D104" s="29">
        <f t="shared" si="23"/>
        <v>0</v>
      </c>
      <c r="E104" s="6"/>
      <c r="F104" s="6"/>
      <c r="G104" s="40">
        <f t="shared" si="24"/>
        <v>0</v>
      </c>
      <c r="H104" s="7"/>
      <c r="I104" s="7"/>
    </row>
    <row r="105" spans="1:9" s="8" customFormat="1" ht="48" customHeight="1" x14ac:dyDescent="0.35">
      <c r="A105" s="99"/>
      <c r="B105" s="27">
        <v>5</v>
      </c>
      <c r="C105" s="28" t="s">
        <v>72</v>
      </c>
      <c r="D105" s="29">
        <f t="shared" si="23"/>
        <v>0</v>
      </c>
      <c r="E105" s="6"/>
      <c r="F105" s="6"/>
      <c r="G105" s="40">
        <f t="shared" si="24"/>
        <v>0</v>
      </c>
      <c r="H105" s="7"/>
      <c r="I105" s="7"/>
    </row>
    <row r="106" spans="1:9" s="8" customFormat="1" ht="48" customHeight="1" x14ac:dyDescent="0.35">
      <c r="A106" s="99"/>
      <c r="B106" s="27">
        <v>6</v>
      </c>
      <c r="C106" s="28" t="s">
        <v>109</v>
      </c>
      <c r="D106" s="29">
        <f t="shared" si="19"/>
        <v>0</v>
      </c>
      <c r="E106" s="6"/>
      <c r="F106" s="6"/>
      <c r="G106" s="40">
        <f t="shared" si="20"/>
        <v>0</v>
      </c>
      <c r="H106" s="7"/>
      <c r="I106" s="7"/>
    </row>
    <row r="107" spans="1:9" s="8" customFormat="1" ht="48" customHeight="1" x14ac:dyDescent="0.35">
      <c r="A107" s="99"/>
      <c r="B107" s="27">
        <v>7</v>
      </c>
      <c r="C107" s="28" t="s">
        <v>27</v>
      </c>
      <c r="D107" s="29">
        <f t="shared" si="19"/>
        <v>0</v>
      </c>
      <c r="E107" s="6"/>
      <c r="F107" s="6"/>
      <c r="G107" s="40">
        <f t="shared" si="20"/>
        <v>0</v>
      </c>
      <c r="H107" s="7"/>
      <c r="I107" s="7"/>
    </row>
    <row r="108" spans="1:9" s="8" customFormat="1" ht="48" customHeight="1" x14ac:dyDescent="0.35">
      <c r="A108" s="99"/>
      <c r="B108" s="27">
        <v>8</v>
      </c>
      <c r="C108" s="28" t="s">
        <v>310</v>
      </c>
      <c r="D108" s="29">
        <f t="shared" si="19"/>
        <v>0</v>
      </c>
      <c r="E108" s="6"/>
      <c r="F108" s="6"/>
      <c r="G108" s="40">
        <f t="shared" si="20"/>
        <v>0</v>
      </c>
      <c r="H108" s="7"/>
      <c r="I108" s="7"/>
    </row>
    <row r="109" spans="1:9" s="8" customFormat="1" ht="48" customHeight="1" x14ac:dyDescent="0.35">
      <c r="A109" s="99"/>
      <c r="B109" s="27">
        <v>9</v>
      </c>
      <c r="C109" s="28" t="s">
        <v>311</v>
      </c>
      <c r="D109" s="29">
        <f t="shared" si="19"/>
        <v>0</v>
      </c>
      <c r="E109" s="6"/>
      <c r="F109" s="6"/>
      <c r="G109" s="40">
        <f t="shared" si="20"/>
        <v>0</v>
      </c>
      <c r="H109" s="7"/>
      <c r="I109" s="7"/>
    </row>
    <row r="110" spans="1:9" s="8" customFormat="1" ht="49.5" customHeight="1" x14ac:dyDescent="0.35">
      <c r="A110" s="99"/>
      <c r="B110" s="27">
        <v>10</v>
      </c>
      <c r="C110" s="28" t="s">
        <v>62</v>
      </c>
      <c r="D110" s="29">
        <f t="shared" si="19"/>
        <v>0</v>
      </c>
      <c r="E110" s="6"/>
      <c r="F110" s="6"/>
      <c r="G110" s="40">
        <f t="shared" si="20"/>
        <v>0</v>
      </c>
      <c r="H110" s="7"/>
      <c r="I110" s="7"/>
    </row>
    <row r="111" spans="1:9" s="8" customFormat="1" ht="49.5" customHeight="1" x14ac:dyDescent="0.35">
      <c r="A111" s="106" t="s">
        <v>535</v>
      </c>
      <c r="B111" s="27">
        <v>1</v>
      </c>
      <c r="C111" s="30" t="s">
        <v>174</v>
      </c>
      <c r="D111" s="29">
        <f t="shared" si="19"/>
        <v>0</v>
      </c>
      <c r="E111" s="6"/>
      <c r="F111" s="6"/>
      <c r="G111" s="40">
        <f t="shared" si="20"/>
        <v>0</v>
      </c>
      <c r="H111" s="7"/>
      <c r="I111" s="7"/>
    </row>
    <row r="112" spans="1:9" s="8" customFormat="1" ht="49.5" customHeight="1" x14ac:dyDescent="0.35">
      <c r="A112" s="107"/>
      <c r="B112" s="27">
        <v>2</v>
      </c>
      <c r="C112" s="30" t="s">
        <v>175</v>
      </c>
      <c r="D112" s="29">
        <f t="shared" si="19"/>
        <v>0</v>
      </c>
      <c r="E112" s="6"/>
      <c r="F112" s="6"/>
      <c r="G112" s="40">
        <f t="shared" si="20"/>
        <v>0</v>
      </c>
      <c r="H112" s="7"/>
      <c r="I112" s="7"/>
    </row>
    <row r="113" spans="1:9" s="8" customFormat="1" ht="49.5" customHeight="1" x14ac:dyDescent="0.35">
      <c r="A113" s="107"/>
      <c r="B113" s="27">
        <v>3</v>
      </c>
      <c r="C113" s="30" t="s">
        <v>176</v>
      </c>
      <c r="D113" s="29">
        <f t="shared" si="19"/>
        <v>0</v>
      </c>
      <c r="E113" s="6"/>
      <c r="F113" s="6"/>
      <c r="G113" s="40">
        <f t="shared" si="20"/>
        <v>0</v>
      </c>
      <c r="H113" s="7"/>
      <c r="I113" s="7"/>
    </row>
    <row r="114" spans="1:9" s="8" customFormat="1" ht="49.5" customHeight="1" x14ac:dyDescent="0.35">
      <c r="A114" s="107"/>
      <c r="B114" s="27">
        <v>4</v>
      </c>
      <c r="C114" s="30" t="s">
        <v>177</v>
      </c>
      <c r="D114" s="29">
        <f t="shared" si="19"/>
        <v>0</v>
      </c>
      <c r="E114" s="6"/>
      <c r="F114" s="6"/>
      <c r="G114" s="40">
        <f t="shared" si="20"/>
        <v>0</v>
      </c>
      <c r="H114" s="7"/>
      <c r="I114" s="7"/>
    </row>
    <row r="115" spans="1:9" s="8" customFormat="1" ht="49.5" customHeight="1" x14ac:dyDescent="0.35">
      <c r="A115" s="107"/>
      <c r="B115" s="27">
        <v>5</v>
      </c>
      <c r="C115" s="30" t="s">
        <v>178</v>
      </c>
      <c r="D115" s="29">
        <f t="shared" si="19"/>
        <v>0</v>
      </c>
      <c r="E115" s="6"/>
      <c r="F115" s="6"/>
      <c r="G115" s="40">
        <f t="shared" si="20"/>
        <v>0</v>
      </c>
      <c r="H115" s="7"/>
      <c r="I115" s="7"/>
    </row>
    <row r="116" spans="1:9" s="8" customFormat="1" ht="49.5" customHeight="1" x14ac:dyDescent="0.35">
      <c r="A116" s="107"/>
      <c r="B116" s="27">
        <v>6</v>
      </c>
      <c r="C116" s="30" t="s">
        <v>179</v>
      </c>
      <c r="D116" s="29">
        <f t="shared" si="19"/>
        <v>0</v>
      </c>
      <c r="E116" s="6"/>
      <c r="F116" s="6"/>
      <c r="G116" s="40">
        <f t="shared" si="20"/>
        <v>0</v>
      </c>
      <c r="H116" s="7"/>
      <c r="I116" s="7"/>
    </row>
    <row r="117" spans="1:9" s="8" customFormat="1" ht="49.5" customHeight="1" x14ac:dyDescent="0.35">
      <c r="A117" s="107"/>
      <c r="B117" s="27">
        <v>7</v>
      </c>
      <c r="C117" s="30" t="s">
        <v>180</v>
      </c>
      <c r="D117" s="29">
        <f t="shared" si="19"/>
        <v>0</v>
      </c>
      <c r="E117" s="6"/>
      <c r="F117" s="6"/>
      <c r="G117" s="40">
        <f t="shared" si="20"/>
        <v>0</v>
      </c>
      <c r="H117" s="7"/>
      <c r="I117" s="7"/>
    </row>
    <row r="118" spans="1:9" s="8" customFormat="1" ht="49.5" customHeight="1" x14ac:dyDescent="0.35">
      <c r="A118" s="107"/>
      <c r="B118" s="27">
        <v>8</v>
      </c>
      <c r="C118" s="30" t="s">
        <v>181</v>
      </c>
      <c r="D118" s="29">
        <f t="shared" si="19"/>
        <v>0</v>
      </c>
      <c r="E118" s="6"/>
      <c r="F118" s="6"/>
      <c r="G118" s="40">
        <f t="shared" si="20"/>
        <v>0</v>
      </c>
      <c r="H118" s="7"/>
      <c r="I118" s="7"/>
    </row>
    <row r="119" spans="1:9" s="8" customFormat="1" ht="49.5" customHeight="1" x14ac:dyDescent="0.35">
      <c r="A119" s="107"/>
      <c r="B119" s="27">
        <v>9</v>
      </c>
      <c r="C119" s="30" t="s">
        <v>182</v>
      </c>
      <c r="D119" s="29">
        <f t="shared" si="19"/>
        <v>0</v>
      </c>
      <c r="E119" s="6"/>
      <c r="F119" s="6"/>
      <c r="G119" s="40">
        <f t="shared" si="20"/>
        <v>0</v>
      </c>
      <c r="H119" s="7"/>
      <c r="I119" s="7"/>
    </row>
    <row r="120" spans="1:9" s="8" customFormat="1" ht="49.5" customHeight="1" x14ac:dyDescent="0.35">
      <c r="A120" s="107"/>
      <c r="B120" s="27">
        <v>10</v>
      </c>
      <c r="C120" s="30" t="s">
        <v>183</v>
      </c>
      <c r="D120" s="29">
        <f t="shared" si="19"/>
        <v>0</v>
      </c>
      <c r="E120" s="6"/>
      <c r="F120" s="6"/>
      <c r="G120" s="40">
        <f t="shared" si="20"/>
        <v>0</v>
      </c>
      <c r="H120" s="7"/>
      <c r="I120" s="7"/>
    </row>
    <row r="121" spans="1:9" s="8" customFormat="1" ht="47.25" customHeight="1" x14ac:dyDescent="0.35">
      <c r="A121" s="107"/>
      <c r="B121" s="27">
        <v>11</v>
      </c>
      <c r="C121" s="30" t="s">
        <v>186</v>
      </c>
      <c r="D121" s="29">
        <f t="shared" si="19"/>
        <v>0</v>
      </c>
      <c r="E121" s="6"/>
      <c r="F121" s="6"/>
      <c r="G121" s="40">
        <f t="shared" si="20"/>
        <v>0</v>
      </c>
      <c r="H121" s="7"/>
      <c r="I121" s="7"/>
    </row>
    <row r="122" spans="1:9" s="8" customFormat="1" ht="42" customHeight="1" x14ac:dyDescent="0.35">
      <c r="A122" s="107"/>
      <c r="B122" s="27">
        <v>12</v>
      </c>
      <c r="C122" s="30" t="s">
        <v>184</v>
      </c>
      <c r="D122" s="29">
        <f t="shared" si="19"/>
        <v>0</v>
      </c>
      <c r="E122" s="6"/>
      <c r="F122" s="6"/>
      <c r="G122" s="40">
        <f t="shared" si="20"/>
        <v>0</v>
      </c>
      <c r="H122" s="7"/>
      <c r="I122" s="7"/>
    </row>
    <row r="123" spans="1:9" s="8" customFormat="1" ht="49.5" customHeight="1" x14ac:dyDescent="0.35">
      <c r="A123" s="107"/>
      <c r="B123" s="27">
        <v>13</v>
      </c>
      <c r="C123" s="30" t="s">
        <v>185</v>
      </c>
      <c r="D123" s="29">
        <f t="shared" si="19"/>
        <v>0</v>
      </c>
      <c r="E123" s="6"/>
      <c r="F123" s="6"/>
      <c r="G123" s="40">
        <f t="shared" si="20"/>
        <v>0</v>
      </c>
      <c r="H123" s="7"/>
      <c r="I123" s="7"/>
    </row>
    <row r="124" spans="1:9" s="8" customFormat="1" ht="49.5" customHeight="1" x14ac:dyDescent="0.35">
      <c r="A124" s="107"/>
      <c r="B124" s="27">
        <v>14</v>
      </c>
      <c r="C124" s="30" t="s">
        <v>28</v>
      </c>
      <c r="D124" s="29">
        <f t="shared" si="19"/>
        <v>0</v>
      </c>
      <c r="E124" s="6"/>
      <c r="F124" s="6"/>
      <c r="G124" s="40">
        <f t="shared" si="20"/>
        <v>0</v>
      </c>
      <c r="H124" s="7"/>
      <c r="I124" s="7"/>
    </row>
    <row r="125" spans="1:9" s="8" customFormat="1" ht="49.5" customHeight="1" x14ac:dyDescent="0.35">
      <c r="A125" s="107"/>
      <c r="B125" s="27">
        <v>15</v>
      </c>
      <c r="C125" s="28" t="s">
        <v>112</v>
      </c>
      <c r="D125" s="29">
        <f t="shared" si="19"/>
        <v>0</v>
      </c>
      <c r="E125" s="6"/>
      <c r="F125" s="6"/>
      <c r="G125" s="40">
        <f t="shared" si="20"/>
        <v>0</v>
      </c>
      <c r="H125" s="7"/>
      <c r="I125" s="7"/>
    </row>
    <row r="126" spans="1:9" s="8" customFormat="1" ht="43.5" customHeight="1" x14ac:dyDescent="0.35">
      <c r="A126" s="107"/>
      <c r="B126" s="27">
        <v>16</v>
      </c>
      <c r="C126" s="28" t="s">
        <v>110</v>
      </c>
      <c r="D126" s="29">
        <f t="shared" ref="D126:D158" si="25">IF(E126="NA","0",E126)</f>
        <v>0</v>
      </c>
      <c r="E126" s="6"/>
      <c r="F126" s="6"/>
      <c r="G126" s="40">
        <f t="shared" ref="G126:G158" si="26">IF(E126="NA","",F126)</f>
        <v>0</v>
      </c>
      <c r="H126" s="7"/>
      <c r="I126" s="7"/>
    </row>
    <row r="127" spans="1:9" s="8" customFormat="1" ht="45.75" customHeight="1" x14ac:dyDescent="0.35">
      <c r="A127" s="107"/>
      <c r="B127" s="27">
        <v>17</v>
      </c>
      <c r="C127" s="28" t="s">
        <v>111</v>
      </c>
      <c r="D127" s="29">
        <f t="shared" si="25"/>
        <v>0</v>
      </c>
      <c r="E127" s="6"/>
      <c r="F127" s="6"/>
      <c r="G127" s="40">
        <f t="shared" si="26"/>
        <v>0</v>
      </c>
      <c r="H127" s="7"/>
      <c r="I127" s="7"/>
    </row>
    <row r="128" spans="1:9" s="8" customFormat="1" ht="45.75" customHeight="1" x14ac:dyDescent="0.35">
      <c r="A128" s="107"/>
      <c r="B128" s="27">
        <v>18</v>
      </c>
      <c r="C128" s="28" t="s">
        <v>113</v>
      </c>
      <c r="D128" s="29">
        <f t="shared" si="25"/>
        <v>0</v>
      </c>
      <c r="E128" s="6"/>
      <c r="F128" s="6"/>
      <c r="G128" s="40">
        <f t="shared" si="26"/>
        <v>0</v>
      </c>
      <c r="H128" s="7"/>
      <c r="I128" s="7"/>
    </row>
    <row r="129" spans="1:9" s="8" customFormat="1" ht="49.5" customHeight="1" x14ac:dyDescent="0.35">
      <c r="A129" s="107"/>
      <c r="B129" s="27">
        <v>19</v>
      </c>
      <c r="C129" s="28" t="s">
        <v>114</v>
      </c>
      <c r="D129" s="29">
        <f t="shared" si="25"/>
        <v>0</v>
      </c>
      <c r="E129" s="6"/>
      <c r="F129" s="6"/>
      <c r="G129" s="40">
        <f t="shared" si="26"/>
        <v>0</v>
      </c>
      <c r="H129" s="7"/>
      <c r="I129" s="7"/>
    </row>
    <row r="130" spans="1:9" s="8" customFormat="1" ht="49.5" customHeight="1" x14ac:dyDescent="0.35">
      <c r="A130" s="100"/>
      <c r="B130" s="27">
        <v>20</v>
      </c>
      <c r="C130" s="31" t="s">
        <v>115</v>
      </c>
      <c r="D130" s="29">
        <f t="shared" si="25"/>
        <v>0</v>
      </c>
      <c r="E130" s="6"/>
      <c r="F130" s="6"/>
      <c r="G130" s="40">
        <f t="shared" si="26"/>
        <v>0</v>
      </c>
      <c r="H130" s="7"/>
      <c r="I130" s="7"/>
    </row>
    <row r="131" spans="1:9" s="8" customFormat="1" ht="45.75" customHeight="1" x14ac:dyDescent="0.35">
      <c r="A131" s="95" t="s">
        <v>47</v>
      </c>
      <c r="B131" s="27">
        <v>1</v>
      </c>
      <c r="C131" s="30" t="s">
        <v>61</v>
      </c>
      <c r="D131" s="29">
        <f>IF(E131="NA","0",E131)</f>
        <v>0</v>
      </c>
      <c r="E131" s="6"/>
      <c r="F131" s="6"/>
      <c r="G131" s="40">
        <f>IF(E131="NA","",F131)</f>
        <v>0</v>
      </c>
      <c r="H131" s="7"/>
      <c r="I131" s="7"/>
    </row>
    <row r="132" spans="1:9" s="8" customFormat="1" ht="45.75" customHeight="1" x14ac:dyDescent="0.35">
      <c r="A132" s="96"/>
      <c r="B132" s="27">
        <v>2</v>
      </c>
      <c r="C132" s="30" t="s">
        <v>162</v>
      </c>
      <c r="D132" s="29">
        <f>IF(E132="NA","0",E132)</f>
        <v>0</v>
      </c>
      <c r="E132" s="6"/>
      <c r="F132" s="6"/>
      <c r="G132" s="40">
        <f>IF(E132="NA","",F132)</f>
        <v>0</v>
      </c>
      <c r="H132" s="7"/>
      <c r="I132" s="7"/>
    </row>
    <row r="133" spans="1:9" s="8" customFormat="1" ht="45.75" customHeight="1" x14ac:dyDescent="0.35">
      <c r="A133" s="96"/>
      <c r="B133" s="27">
        <v>3</v>
      </c>
      <c r="C133" s="30" t="s">
        <v>161</v>
      </c>
      <c r="D133" s="29">
        <f t="shared" ref="D133:D144" si="27">IF(E133="NA","0",E133)</f>
        <v>0</v>
      </c>
      <c r="E133" s="6"/>
      <c r="F133" s="6"/>
      <c r="G133" s="40">
        <f t="shared" ref="G133:G142" si="28">IF(E133="NA","",F133)</f>
        <v>0</v>
      </c>
      <c r="H133" s="7"/>
      <c r="I133" s="7"/>
    </row>
    <row r="134" spans="1:9" s="8" customFormat="1" ht="45.75" customHeight="1" x14ac:dyDescent="0.35">
      <c r="A134" s="96"/>
      <c r="B134" s="27">
        <v>4</v>
      </c>
      <c r="C134" s="30" t="s">
        <v>160</v>
      </c>
      <c r="D134" s="29">
        <f t="shared" si="27"/>
        <v>0</v>
      </c>
      <c r="E134" s="6"/>
      <c r="F134" s="6"/>
      <c r="G134" s="40">
        <f t="shared" si="28"/>
        <v>0</v>
      </c>
      <c r="H134" s="7"/>
      <c r="I134" s="7"/>
    </row>
    <row r="135" spans="1:9" s="8" customFormat="1" ht="45.75" customHeight="1" x14ac:dyDescent="0.35">
      <c r="A135" s="96"/>
      <c r="B135" s="27">
        <v>5</v>
      </c>
      <c r="C135" s="30" t="s">
        <v>271</v>
      </c>
      <c r="D135" s="29">
        <f t="shared" si="27"/>
        <v>0</v>
      </c>
      <c r="E135" s="6"/>
      <c r="F135" s="6"/>
      <c r="G135" s="40">
        <f t="shared" si="28"/>
        <v>0</v>
      </c>
      <c r="H135" s="7"/>
      <c r="I135" s="7"/>
    </row>
    <row r="136" spans="1:9" s="8" customFormat="1" ht="45.75" customHeight="1" x14ac:dyDescent="0.35">
      <c r="A136" s="96"/>
      <c r="B136" s="27">
        <v>6</v>
      </c>
      <c r="C136" s="30" t="s">
        <v>288</v>
      </c>
      <c r="D136" s="29">
        <f t="shared" si="27"/>
        <v>0</v>
      </c>
      <c r="E136" s="6"/>
      <c r="F136" s="6"/>
      <c r="G136" s="40">
        <f t="shared" si="28"/>
        <v>0</v>
      </c>
      <c r="H136" s="7"/>
      <c r="I136" s="7"/>
    </row>
    <row r="137" spans="1:9" s="8" customFormat="1" ht="45.75" customHeight="1" x14ac:dyDescent="0.35">
      <c r="A137" s="96"/>
      <c r="B137" s="27">
        <v>7</v>
      </c>
      <c r="C137" s="30" t="s">
        <v>287</v>
      </c>
      <c r="D137" s="29">
        <f t="shared" si="27"/>
        <v>0</v>
      </c>
      <c r="E137" s="6"/>
      <c r="F137" s="6"/>
      <c r="G137" s="40">
        <f t="shared" si="28"/>
        <v>0</v>
      </c>
      <c r="H137" s="7"/>
      <c r="I137" s="7"/>
    </row>
    <row r="138" spans="1:9" s="8" customFormat="1" ht="45.75" customHeight="1" x14ac:dyDescent="0.35">
      <c r="A138" s="96"/>
      <c r="B138" s="27">
        <v>8</v>
      </c>
      <c r="C138" s="30" t="s">
        <v>58</v>
      </c>
      <c r="D138" s="29">
        <f t="shared" si="27"/>
        <v>0</v>
      </c>
      <c r="E138" s="6"/>
      <c r="F138" s="6"/>
      <c r="G138" s="40">
        <f t="shared" si="28"/>
        <v>0</v>
      </c>
      <c r="H138" s="7"/>
      <c r="I138" s="7"/>
    </row>
    <row r="139" spans="1:9" s="8" customFormat="1" ht="45.75" customHeight="1" x14ac:dyDescent="0.35">
      <c r="A139" s="96"/>
      <c r="B139" s="27">
        <v>9</v>
      </c>
      <c r="C139" s="30" t="s">
        <v>60</v>
      </c>
      <c r="D139" s="29">
        <f t="shared" si="27"/>
        <v>0</v>
      </c>
      <c r="E139" s="6"/>
      <c r="F139" s="6"/>
      <c r="G139" s="40">
        <f t="shared" si="28"/>
        <v>0</v>
      </c>
      <c r="H139" s="7"/>
      <c r="I139" s="7"/>
    </row>
    <row r="140" spans="1:9" s="8" customFormat="1" ht="45.75" customHeight="1" x14ac:dyDescent="0.35">
      <c r="A140" s="97"/>
      <c r="B140" s="27">
        <v>10</v>
      </c>
      <c r="C140" s="30" t="s">
        <v>59</v>
      </c>
      <c r="D140" s="29">
        <f t="shared" si="27"/>
        <v>0</v>
      </c>
      <c r="E140" s="6"/>
      <c r="F140" s="6"/>
      <c r="G140" s="40">
        <f t="shared" si="28"/>
        <v>0</v>
      </c>
      <c r="H140" s="7"/>
      <c r="I140" s="7"/>
    </row>
    <row r="141" spans="1:9" s="8" customFormat="1" ht="45.75" customHeight="1" x14ac:dyDescent="0.35">
      <c r="A141" s="95" t="s">
        <v>36</v>
      </c>
      <c r="B141" s="27">
        <v>1</v>
      </c>
      <c r="C141" s="30" t="s">
        <v>37</v>
      </c>
      <c r="D141" s="29">
        <f t="shared" si="27"/>
        <v>0</v>
      </c>
      <c r="E141" s="6"/>
      <c r="F141" s="6"/>
      <c r="G141" s="40">
        <f t="shared" si="28"/>
        <v>0</v>
      </c>
      <c r="H141" s="7"/>
      <c r="I141" s="7"/>
    </row>
    <row r="142" spans="1:9" s="8" customFormat="1" ht="45.75" customHeight="1" x14ac:dyDescent="0.35">
      <c r="A142" s="96"/>
      <c r="B142" s="27">
        <v>2</v>
      </c>
      <c r="C142" s="30" t="s">
        <v>119</v>
      </c>
      <c r="D142" s="29">
        <f t="shared" si="27"/>
        <v>0</v>
      </c>
      <c r="E142" s="6"/>
      <c r="F142" s="6"/>
      <c r="G142" s="40">
        <f t="shared" si="28"/>
        <v>0</v>
      </c>
      <c r="H142" s="7"/>
      <c r="I142" s="7"/>
    </row>
    <row r="143" spans="1:9" s="8" customFormat="1" ht="45.75" customHeight="1" x14ac:dyDescent="0.35">
      <c r="A143" s="96"/>
      <c r="B143" s="27">
        <v>3</v>
      </c>
      <c r="C143" s="30" t="s">
        <v>285</v>
      </c>
      <c r="D143" s="29">
        <f t="shared" si="27"/>
        <v>0</v>
      </c>
      <c r="E143" s="6"/>
      <c r="F143" s="6"/>
      <c r="G143" s="40">
        <f t="shared" ref="G143:G144" si="29">IF(E143="NA","",F143)</f>
        <v>0</v>
      </c>
      <c r="H143" s="7"/>
      <c r="I143" s="7"/>
    </row>
    <row r="144" spans="1:9" s="8" customFormat="1" ht="45.75" customHeight="1" x14ac:dyDescent="0.35">
      <c r="A144" s="96"/>
      <c r="B144" s="27">
        <v>4</v>
      </c>
      <c r="C144" s="30" t="s">
        <v>141</v>
      </c>
      <c r="D144" s="29">
        <f t="shared" si="27"/>
        <v>0</v>
      </c>
      <c r="E144" s="6"/>
      <c r="F144" s="6"/>
      <c r="G144" s="40">
        <f t="shared" si="29"/>
        <v>0</v>
      </c>
      <c r="H144" s="7"/>
      <c r="I144" s="7"/>
    </row>
    <row r="145" spans="1:9" s="8" customFormat="1" ht="45.75" customHeight="1" x14ac:dyDescent="0.35">
      <c r="A145" s="96"/>
      <c r="B145" s="27">
        <v>5</v>
      </c>
      <c r="C145" s="30" t="s">
        <v>38</v>
      </c>
      <c r="D145" s="29">
        <f>IF(E145="NA","0",E145)</f>
        <v>0</v>
      </c>
      <c r="E145" s="6"/>
      <c r="F145" s="6"/>
      <c r="G145" s="40">
        <f>IF(E145="NA","",F145)</f>
        <v>0</v>
      </c>
      <c r="H145" s="7"/>
      <c r="I145" s="7"/>
    </row>
    <row r="146" spans="1:9" s="8" customFormat="1" ht="45.75" customHeight="1" x14ac:dyDescent="0.35">
      <c r="A146" s="96"/>
      <c r="B146" s="27">
        <v>6</v>
      </c>
      <c r="C146" s="30" t="s">
        <v>59</v>
      </c>
      <c r="D146" s="29">
        <f>IF(E146="NA","0",E146)</f>
        <v>0</v>
      </c>
      <c r="E146" s="6"/>
      <c r="F146" s="6"/>
      <c r="G146" s="40">
        <f>IF(E146="NA","",F146)</f>
        <v>0</v>
      </c>
      <c r="H146" s="7"/>
      <c r="I146" s="7"/>
    </row>
    <row r="147" spans="1:9" s="8" customFormat="1" ht="45.75" customHeight="1" x14ac:dyDescent="0.35">
      <c r="A147" s="96"/>
      <c r="B147" s="27">
        <v>7</v>
      </c>
      <c r="C147" s="30" t="s">
        <v>142</v>
      </c>
      <c r="D147" s="29">
        <f>IF(E147="NA","0",E147)</f>
        <v>0</v>
      </c>
      <c r="E147" s="6"/>
      <c r="F147" s="6"/>
      <c r="G147" s="40">
        <f>IF(E147="NA","",F147)</f>
        <v>0</v>
      </c>
      <c r="H147" s="7"/>
      <c r="I147" s="7"/>
    </row>
    <row r="148" spans="1:9" s="8" customFormat="1" ht="45.75" customHeight="1" x14ac:dyDescent="0.35">
      <c r="A148" s="96"/>
      <c r="B148" s="27">
        <v>8</v>
      </c>
      <c r="C148" s="30" t="s">
        <v>284</v>
      </c>
      <c r="D148" s="29">
        <f>IF(E148="NA","0",E148)</f>
        <v>0</v>
      </c>
      <c r="E148" s="6"/>
      <c r="F148" s="6"/>
      <c r="G148" s="40">
        <f>IF(E148="NA","",F148)</f>
        <v>0</v>
      </c>
      <c r="H148" s="7"/>
      <c r="I148" s="7"/>
    </row>
    <row r="149" spans="1:9" s="8" customFormat="1" ht="45.75" customHeight="1" x14ac:dyDescent="0.35">
      <c r="A149" s="96"/>
      <c r="B149" s="27">
        <v>9</v>
      </c>
      <c r="C149" s="30" t="s">
        <v>143</v>
      </c>
      <c r="D149" s="29">
        <f t="shared" ref="D149:D154" si="30">IF(E149="NA","0",E149)</f>
        <v>0</v>
      </c>
      <c r="E149" s="6"/>
      <c r="F149" s="6"/>
      <c r="G149" s="40">
        <f t="shared" ref="G149:G154" si="31">IF(E149="NA","",F149)</f>
        <v>0</v>
      </c>
      <c r="H149" s="7"/>
      <c r="I149" s="7"/>
    </row>
    <row r="150" spans="1:9" s="8" customFormat="1" ht="45.75" customHeight="1" x14ac:dyDescent="0.35">
      <c r="A150" s="97"/>
      <c r="B150" s="27">
        <v>10</v>
      </c>
      <c r="C150" s="30" t="s">
        <v>286</v>
      </c>
      <c r="D150" s="29">
        <f t="shared" si="30"/>
        <v>0</v>
      </c>
      <c r="E150" s="6"/>
      <c r="F150" s="6"/>
      <c r="G150" s="40">
        <f t="shared" si="31"/>
        <v>0</v>
      </c>
      <c r="H150" s="7"/>
      <c r="I150" s="7"/>
    </row>
    <row r="151" spans="1:9" s="8" customFormat="1" ht="45.75" customHeight="1" x14ac:dyDescent="0.35">
      <c r="A151" s="98" t="s">
        <v>46</v>
      </c>
      <c r="B151" s="27">
        <v>1</v>
      </c>
      <c r="C151" s="28" t="s">
        <v>11</v>
      </c>
      <c r="D151" s="29">
        <f t="shared" si="30"/>
        <v>0</v>
      </c>
      <c r="E151" s="6"/>
      <c r="F151" s="6"/>
      <c r="G151" s="40">
        <f t="shared" si="31"/>
        <v>0</v>
      </c>
      <c r="H151" s="7"/>
      <c r="I151" s="7"/>
    </row>
    <row r="152" spans="1:9" s="8" customFormat="1" ht="45.75" customHeight="1" x14ac:dyDescent="0.35">
      <c r="A152" s="98"/>
      <c r="B152" s="27">
        <v>2</v>
      </c>
      <c r="C152" s="28" t="s">
        <v>120</v>
      </c>
      <c r="D152" s="29">
        <f t="shared" si="30"/>
        <v>0</v>
      </c>
      <c r="E152" s="6"/>
      <c r="F152" s="6"/>
      <c r="G152" s="40">
        <f t="shared" si="31"/>
        <v>0</v>
      </c>
      <c r="H152" s="7"/>
      <c r="I152" s="7"/>
    </row>
    <row r="153" spans="1:9" s="8" customFormat="1" ht="45.75" customHeight="1" x14ac:dyDescent="0.35">
      <c r="A153" s="98"/>
      <c r="B153" s="27">
        <v>3</v>
      </c>
      <c r="C153" s="28" t="s">
        <v>147</v>
      </c>
      <c r="D153" s="29">
        <f t="shared" si="30"/>
        <v>0</v>
      </c>
      <c r="E153" s="6"/>
      <c r="F153" s="6"/>
      <c r="G153" s="40">
        <f t="shared" si="31"/>
        <v>0</v>
      </c>
      <c r="H153" s="7"/>
      <c r="I153" s="7"/>
    </row>
    <row r="154" spans="1:9" s="8" customFormat="1" ht="45.75" customHeight="1" x14ac:dyDescent="0.35">
      <c r="A154" s="98"/>
      <c r="B154" s="27">
        <v>4</v>
      </c>
      <c r="C154" s="28" t="s">
        <v>39</v>
      </c>
      <c r="D154" s="29">
        <f t="shared" si="30"/>
        <v>0</v>
      </c>
      <c r="E154" s="6"/>
      <c r="F154" s="6"/>
      <c r="G154" s="40">
        <f t="shared" si="31"/>
        <v>0</v>
      </c>
      <c r="H154" s="7"/>
      <c r="I154" s="7"/>
    </row>
    <row r="155" spans="1:9" s="8" customFormat="1" ht="45.75" customHeight="1" x14ac:dyDescent="0.35">
      <c r="A155" s="99" t="s">
        <v>32</v>
      </c>
      <c r="B155" s="27">
        <v>1</v>
      </c>
      <c r="C155" s="28" t="s">
        <v>33</v>
      </c>
      <c r="D155" s="29">
        <f t="shared" si="25"/>
        <v>0</v>
      </c>
      <c r="E155" s="6"/>
      <c r="F155" s="6"/>
      <c r="G155" s="40">
        <f t="shared" si="26"/>
        <v>0</v>
      </c>
      <c r="H155" s="7"/>
      <c r="I155" s="7"/>
    </row>
    <row r="156" spans="1:9" s="8" customFormat="1" ht="45.75" customHeight="1" x14ac:dyDescent="0.35">
      <c r="A156" s="99"/>
      <c r="B156" s="27">
        <v>2</v>
      </c>
      <c r="C156" s="28" t="s">
        <v>62</v>
      </c>
      <c r="D156" s="29">
        <f t="shared" ref="D156" si="32">IF(E156="NA","0",E156)</f>
        <v>0</v>
      </c>
      <c r="E156" s="6"/>
      <c r="F156" s="6"/>
      <c r="G156" s="40">
        <f t="shared" ref="G156" si="33">IF(E156="NA","",F156)</f>
        <v>0</v>
      </c>
      <c r="H156" s="7"/>
      <c r="I156" s="7"/>
    </row>
    <row r="157" spans="1:9" s="8" customFormat="1" ht="50.25" customHeight="1" x14ac:dyDescent="0.35">
      <c r="A157" s="99"/>
      <c r="B157" s="27">
        <v>3</v>
      </c>
      <c r="C157" s="28" t="s">
        <v>312</v>
      </c>
      <c r="D157" s="29">
        <f t="shared" si="25"/>
        <v>0</v>
      </c>
      <c r="E157" s="6"/>
      <c r="F157" s="6"/>
      <c r="G157" s="40">
        <f t="shared" si="26"/>
        <v>0</v>
      </c>
      <c r="H157" s="7"/>
      <c r="I157" s="7"/>
    </row>
    <row r="158" spans="1:9" s="8" customFormat="1" ht="50.25" customHeight="1" x14ac:dyDescent="0.35">
      <c r="A158" s="45" t="s">
        <v>34</v>
      </c>
      <c r="B158" s="27">
        <v>1</v>
      </c>
      <c r="C158" s="28" t="s">
        <v>35</v>
      </c>
      <c r="D158" s="29">
        <f t="shared" si="25"/>
        <v>0</v>
      </c>
      <c r="E158" s="6"/>
      <c r="F158" s="6"/>
      <c r="G158" s="40">
        <f t="shared" si="26"/>
        <v>0</v>
      </c>
      <c r="H158" s="7"/>
      <c r="I158" s="7"/>
    </row>
    <row r="159" spans="1:9" s="8" customFormat="1" ht="50.25" customHeight="1" x14ac:dyDescent="0.35">
      <c r="A159" s="95" t="s">
        <v>221</v>
      </c>
      <c r="B159" s="27">
        <v>1</v>
      </c>
      <c r="C159" s="28" t="s">
        <v>40</v>
      </c>
      <c r="D159" s="29">
        <f t="shared" ref="D159" si="34">IF(E159="NA","0",E159)</f>
        <v>0</v>
      </c>
      <c r="E159" s="6"/>
      <c r="F159" s="6"/>
      <c r="G159" s="40">
        <f t="shared" ref="G159" si="35">IF(E159="NA","",F159)</f>
        <v>0</v>
      </c>
      <c r="H159" s="7"/>
      <c r="I159" s="7"/>
    </row>
    <row r="160" spans="1:9" s="8" customFormat="1" ht="56.25" customHeight="1" x14ac:dyDescent="0.35">
      <c r="A160" s="97"/>
      <c r="B160" s="27">
        <v>2</v>
      </c>
      <c r="C160" s="28" t="s">
        <v>79</v>
      </c>
      <c r="D160" s="29">
        <f t="shared" ref="D160:D241" si="36">IF(E160="NA","0",E160)</f>
        <v>0</v>
      </c>
      <c r="E160" s="6"/>
      <c r="F160" s="6"/>
      <c r="G160" s="40">
        <f t="shared" ref="G160:G241" si="37">IF(E160="NA","",F160)</f>
        <v>0</v>
      </c>
      <c r="H160" s="7"/>
      <c r="I160" s="7"/>
    </row>
    <row r="161" spans="1:9" s="8" customFormat="1" ht="49.5" customHeight="1" x14ac:dyDescent="0.35">
      <c r="A161" s="98" t="s">
        <v>121</v>
      </c>
      <c r="B161" s="27">
        <v>1</v>
      </c>
      <c r="C161" s="28" t="s">
        <v>129</v>
      </c>
      <c r="D161" s="29">
        <f t="shared" si="36"/>
        <v>0</v>
      </c>
      <c r="E161" s="6"/>
      <c r="F161" s="6"/>
      <c r="G161" s="40">
        <f t="shared" si="37"/>
        <v>0</v>
      </c>
      <c r="H161" s="7"/>
      <c r="I161" s="7"/>
    </row>
    <row r="162" spans="1:9" s="8" customFormat="1" ht="49.5" customHeight="1" x14ac:dyDescent="0.35">
      <c r="A162" s="98"/>
      <c r="B162" s="27">
        <v>2</v>
      </c>
      <c r="C162" s="28" t="s">
        <v>122</v>
      </c>
      <c r="D162" s="29">
        <f t="shared" si="36"/>
        <v>0</v>
      </c>
      <c r="E162" s="6"/>
      <c r="F162" s="6"/>
      <c r="G162" s="40">
        <f t="shared" si="37"/>
        <v>0</v>
      </c>
      <c r="H162" s="7"/>
      <c r="I162" s="7"/>
    </row>
    <row r="163" spans="1:9" s="8" customFormat="1" ht="49.5" customHeight="1" x14ac:dyDescent="0.35">
      <c r="A163" s="98"/>
      <c r="B163" s="27">
        <v>3</v>
      </c>
      <c r="C163" s="28" t="s">
        <v>123</v>
      </c>
      <c r="D163" s="29">
        <f t="shared" si="36"/>
        <v>0</v>
      </c>
      <c r="E163" s="6"/>
      <c r="F163" s="6"/>
      <c r="G163" s="40">
        <f t="shared" si="37"/>
        <v>0</v>
      </c>
      <c r="H163" s="7"/>
      <c r="I163" s="7"/>
    </row>
    <row r="164" spans="1:9" s="8" customFormat="1" ht="49.5" customHeight="1" x14ac:dyDescent="0.35">
      <c r="A164" s="98"/>
      <c r="B164" s="27">
        <v>4</v>
      </c>
      <c r="C164" s="28" t="s">
        <v>124</v>
      </c>
      <c r="D164" s="29">
        <f t="shared" si="36"/>
        <v>0</v>
      </c>
      <c r="E164" s="6"/>
      <c r="F164" s="6"/>
      <c r="G164" s="40">
        <f t="shared" si="37"/>
        <v>0</v>
      </c>
      <c r="H164" s="7"/>
      <c r="I164" s="7"/>
    </row>
    <row r="165" spans="1:9" s="8" customFormat="1" ht="49.5" customHeight="1" x14ac:dyDescent="0.35">
      <c r="A165" s="98"/>
      <c r="B165" s="27">
        <v>5</v>
      </c>
      <c r="C165" s="28" t="s">
        <v>130</v>
      </c>
      <c r="D165" s="29">
        <f t="shared" si="36"/>
        <v>0</v>
      </c>
      <c r="E165" s="6"/>
      <c r="F165" s="6"/>
      <c r="G165" s="40">
        <f t="shared" si="37"/>
        <v>0</v>
      </c>
      <c r="H165" s="7"/>
      <c r="I165" s="7"/>
    </row>
    <row r="166" spans="1:9" s="8" customFormat="1" ht="49.5" customHeight="1" x14ac:dyDescent="0.35">
      <c r="A166" s="98"/>
      <c r="B166" s="27">
        <v>6</v>
      </c>
      <c r="C166" s="28" t="s">
        <v>125</v>
      </c>
      <c r="D166" s="29">
        <f t="shared" si="36"/>
        <v>0</v>
      </c>
      <c r="E166" s="6"/>
      <c r="F166" s="6"/>
      <c r="G166" s="40">
        <f t="shared" si="37"/>
        <v>0</v>
      </c>
      <c r="H166" s="7"/>
      <c r="I166" s="7"/>
    </row>
    <row r="167" spans="1:9" s="8" customFormat="1" ht="49.5" customHeight="1" x14ac:dyDescent="0.35">
      <c r="A167" s="98"/>
      <c r="B167" s="27">
        <v>7</v>
      </c>
      <c r="C167" s="28" t="s">
        <v>127</v>
      </c>
      <c r="D167" s="29">
        <f t="shared" si="36"/>
        <v>0</v>
      </c>
      <c r="E167" s="6"/>
      <c r="F167" s="6"/>
      <c r="G167" s="40">
        <f t="shared" si="37"/>
        <v>0</v>
      </c>
      <c r="H167" s="7"/>
      <c r="I167" s="7"/>
    </row>
    <row r="168" spans="1:9" s="8" customFormat="1" ht="49.5" customHeight="1" x14ac:dyDescent="0.35">
      <c r="A168" s="98"/>
      <c r="B168" s="27">
        <v>8</v>
      </c>
      <c r="C168" s="28" t="s">
        <v>126</v>
      </c>
      <c r="D168" s="29">
        <f t="shared" si="36"/>
        <v>0</v>
      </c>
      <c r="E168" s="6"/>
      <c r="F168" s="6"/>
      <c r="G168" s="40">
        <f t="shared" si="37"/>
        <v>0</v>
      </c>
      <c r="H168" s="7"/>
      <c r="I168" s="7"/>
    </row>
    <row r="169" spans="1:9" s="8" customFormat="1" ht="49.5" customHeight="1" x14ac:dyDescent="0.35">
      <c r="A169" s="98"/>
      <c r="B169" s="27">
        <v>9</v>
      </c>
      <c r="C169" s="28" t="s">
        <v>273</v>
      </c>
      <c r="D169" s="29">
        <f t="shared" si="36"/>
        <v>0</v>
      </c>
      <c r="E169" s="6"/>
      <c r="F169" s="6"/>
      <c r="G169" s="40">
        <f t="shared" si="37"/>
        <v>0</v>
      </c>
      <c r="H169" s="7"/>
      <c r="I169" s="7"/>
    </row>
    <row r="170" spans="1:9" s="8" customFormat="1" ht="49.5" customHeight="1" x14ac:dyDescent="0.35">
      <c r="A170" s="98"/>
      <c r="B170" s="27">
        <v>10</v>
      </c>
      <c r="C170" s="28" t="s">
        <v>128</v>
      </c>
      <c r="D170" s="29">
        <f t="shared" si="36"/>
        <v>0</v>
      </c>
      <c r="E170" s="6"/>
      <c r="F170" s="6"/>
      <c r="G170" s="40">
        <f t="shared" si="37"/>
        <v>0</v>
      </c>
      <c r="H170" s="7"/>
      <c r="I170" s="7"/>
    </row>
    <row r="171" spans="1:9" s="8" customFormat="1" ht="49.5" customHeight="1" x14ac:dyDescent="0.35">
      <c r="A171" s="98"/>
      <c r="B171" s="27">
        <v>11</v>
      </c>
      <c r="C171" s="28" t="s">
        <v>131</v>
      </c>
      <c r="D171" s="29">
        <f t="shared" si="36"/>
        <v>0</v>
      </c>
      <c r="E171" s="6"/>
      <c r="F171" s="6"/>
      <c r="G171" s="40">
        <f t="shared" si="37"/>
        <v>0</v>
      </c>
      <c r="H171" s="7"/>
      <c r="I171" s="7"/>
    </row>
    <row r="172" spans="1:9" s="8" customFormat="1" ht="49.5" customHeight="1" x14ac:dyDescent="0.35">
      <c r="A172" s="98"/>
      <c r="B172" s="27">
        <v>12</v>
      </c>
      <c r="C172" s="30" t="s">
        <v>137</v>
      </c>
      <c r="D172" s="29">
        <f t="shared" si="36"/>
        <v>0</v>
      </c>
      <c r="E172" s="6"/>
      <c r="F172" s="6"/>
      <c r="G172" s="40">
        <f t="shared" si="37"/>
        <v>0</v>
      </c>
      <c r="H172" s="7"/>
      <c r="I172" s="7"/>
    </row>
    <row r="173" spans="1:9" s="8" customFormat="1" ht="49.5" customHeight="1" x14ac:dyDescent="0.35">
      <c r="A173" s="98"/>
      <c r="B173" s="27">
        <v>13</v>
      </c>
      <c r="C173" s="28" t="s">
        <v>107</v>
      </c>
      <c r="D173" s="29">
        <f t="shared" si="36"/>
        <v>0</v>
      </c>
      <c r="E173" s="6"/>
      <c r="F173" s="6"/>
      <c r="G173" s="40">
        <f t="shared" si="37"/>
        <v>0</v>
      </c>
      <c r="H173" s="7"/>
      <c r="I173" s="7"/>
    </row>
    <row r="174" spans="1:9" s="8" customFormat="1" ht="49.5" customHeight="1" x14ac:dyDescent="0.35">
      <c r="A174" s="98"/>
      <c r="B174" s="27">
        <v>14</v>
      </c>
      <c r="C174" s="30" t="s">
        <v>138</v>
      </c>
      <c r="D174" s="29">
        <f t="shared" si="36"/>
        <v>0</v>
      </c>
      <c r="E174" s="6"/>
      <c r="F174" s="6"/>
      <c r="G174" s="40">
        <f t="shared" si="37"/>
        <v>0</v>
      </c>
      <c r="H174" s="7"/>
      <c r="I174" s="7"/>
    </row>
    <row r="175" spans="1:9" s="8" customFormat="1" ht="49.5" customHeight="1" x14ac:dyDescent="0.35">
      <c r="A175" s="98"/>
      <c r="B175" s="27">
        <v>15</v>
      </c>
      <c r="C175" s="28" t="s">
        <v>297</v>
      </c>
      <c r="D175" s="29">
        <f t="shared" si="36"/>
        <v>0</v>
      </c>
      <c r="E175" s="6"/>
      <c r="F175" s="6"/>
      <c r="G175" s="40">
        <f t="shared" si="37"/>
        <v>0</v>
      </c>
      <c r="H175" s="7"/>
      <c r="I175" s="7"/>
    </row>
    <row r="176" spans="1:9" s="8" customFormat="1" ht="50.25" customHeight="1" x14ac:dyDescent="0.35">
      <c r="A176" s="98" t="s">
        <v>140</v>
      </c>
      <c r="B176" s="27">
        <v>1</v>
      </c>
      <c r="C176" s="28" t="s">
        <v>129</v>
      </c>
      <c r="D176" s="29">
        <f t="shared" si="36"/>
        <v>0</v>
      </c>
      <c r="E176" s="6"/>
      <c r="F176" s="6"/>
      <c r="G176" s="40">
        <f t="shared" si="37"/>
        <v>0</v>
      </c>
      <c r="H176" s="7"/>
      <c r="I176" s="7"/>
    </row>
    <row r="177" spans="1:9" s="8" customFormat="1" ht="50.25" customHeight="1" x14ac:dyDescent="0.35">
      <c r="A177" s="98"/>
      <c r="B177" s="27">
        <v>2</v>
      </c>
      <c r="C177" s="30" t="s">
        <v>135</v>
      </c>
      <c r="D177" s="29">
        <f t="shared" si="36"/>
        <v>0</v>
      </c>
      <c r="E177" s="6"/>
      <c r="F177" s="6"/>
      <c r="G177" s="40">
        <f t="shared" si="37"/>
        <v>0</v>
      </c>
      <c r="H177" s="7"/>
      <c r="I177" s="7"/>
    </row>
    <row r="178" spans="1:9" s="8" customFormat="1" ht="50.25" customHeight="1" x14ac:dyDescent="0.35">
      <c r="A178" s="98"/>
      <c r="B178" s="27">
        <v>3</v>
      </c>
      <c r="C178" s="28" t="s">
        <v>273</v>
      </c>
      <c r="D178" s="29">
        <f t="shared" si="36"/>
        <v>0</v>
      </c>
      <c r="E178" s="6"/>
      <c r="F178" s="6"/>
      <c r="G178" s="40">
        <f t="shared" si="37"/>
        <v>0</v>
      </c>
      <c r="H178" s="7"/>
      <c r="I178" s="7"/>
    </row>
    <row r="179" spans="1:9" s="8" customFormat="1" ht="50.25" customHeight="1" x14ac:dyDescent="0.35">
      <c r="A179" s="98"/>
      <c r="B179" s="27">
        <v>4</v>
      </c>
      <c r="C179" s="28" t="s">
        <v>144</v>
      </c>
      <c r="D179" s="29">
        <f t="shared" si="36"/>
        <v>0</v>
      </c>
      <c r="E179" s="6"/>
      <c r="F179" s="6"/>
      <c r="G179" s="40">
        <f t="shared" si="37"/>
        <v>0</v>
      </c>
      <c r="H179" s="7"/>
      <c r="I179" s="7"/>
    </row>
    <row r="180" spans="1:9" s="8" customFormat="1" ht="50.25" customHeight="1" x14ac:dyDescent="0.35">
      <c r="A180" s="98"/>
      <c r="B180" s="27">
        <v>5</v>
      </c>
      <c r="C180" s="28" t="s">
        <v>272</v>
      </c>
      <c r="D180" s="29">
        <f t="shared" si="36"/>
        <v>0</v>
      </c>
      <c r="E180" s="6"/>
      <c r="F180" s="6"/>
      <c r="G180" s="40">
        <f t="shared" si="37"/>
        <v>0</v>
      </c>
      <c r="H180" s="7"/>
      <c r="I180" s="7"/>
    </row>
    <row r="181" spans="1:9" s="8" customFormat="1" ht="50.25" customHeight="1" x14ac:dyDescent="0.35">
      <c r="A181" s="98" t="s">
        <v>132</v>
      </c>
      <c r="B181" s="27">
        <v>1</v>
      </c>
      <c r="C181" s="28" t="s">
        <v>129</v>
      </c>
      <c r="D181" s="29">
        <f t="shared" si="36"/>
        <v>0</v>
      </c>
      <c r="E181" s="6"/>
      <c r="F181" s="6"/>
      <c r="G181" s="40">
        <f t="shared" si="37"/>
        <v>0</v>
      </c>
      <c r="H181" s="7"/>
      <c r="I181" s="7"/>
    </row>
    <row r="182" spans="1:9" s="8" customFormat="1" ht="50.25" customHeight="1" x14ac:dyDescent="0.35">
      <c r="A182" s="98"/>
      <c r="B182" s="27">
        <v>2</v>
      </c>
      <c r="C182" s="28" t="s">
        <v>134</v>
      </c>
      <c r="D182" s="29">
        <f t="shared" si="36"/>
        <v>0</v>
      </c>
      <c r="E182" s="6"/>
      <c r="F182" s="6"/>
      <c r="G182" s="40">
        <f t="shared" si="37"/>
        <v>0</v>
      </c>
      <c r="H182" s="7"/>
      <c r="I182" s="7"/>
    </row>
    <row r="183" spans="1:9" s="8" customFormat="1" ht="50.25" customHeight="1" x14ac:dyDescent="0.35">
      <c r="A183" s="98"/>
      <c r="B183" s="27">
        <v>3</v>
      </c>
      <c r="C183" s="28" t="s">
        <v>273</v>
      </c>
      <c r="D183" s="29">
        <f t="shared" si="36"/>
        <v>0</v>
      </c>
      <c r="E183" s="6"/>
      <c r="F183" s="6"/>
      <c r="G183" s="40">
        <f t="shared" si="37"/>
        <v>0</v>
      </c>
      <c r="H183" s="7"/>
      <c r="I183" s="7"/>
    </row>
    <row r="184" spans="1:9" s="8" customFormat="1" ht="50.25" customHeight="1" x14ac:dyDescent="0.35">
      <c r="A184" s="98"/>
      <c r="B184" s="27">
        <v>4</v>
      </c>
      <c r="C184" s="28" t="s">
        <v>131</v>
      </c>
      <c r="D184" s="29">
        <f t="shared" si="36"/>
        <v>0</v>
      </c>
      <c r="E184" s="6"/>
      <c r="F184" s="6"/>
      <c r="G184" s="40">
        <f t="shared" si="37"/>
        <v>0</v>
      </c>
      <c r="H184" s="7"/>
      <c r="I184" s="7"/>
    </row>
    <row r="185" spans="1:9" s="8" customFormat="1" ht="50.25" customHeight="1" x14ac:dyDescent="0.35">
      <c r="A185" s="98"/>
      <c r="B185" s="27">
        <v>5</v>
      </c>
      <c r="C185" s="28" t="s">
        <v>133</v>
      </c>
      <c r="D185" s="29">
        <f t="shared" si="36"/>
        <v>0</v>
      </c>
      <c r="E185" s="6"/>
      <c r="F185" s="6"/>
      <c r="G185" s="40">
        <f t="shared" si="37"/>
        <v>0</v>
      </c>
      <c r="H185" s="7"/>
      <c r="I185" s="7"/>
    </row>
    <row r="186" spans="1:9" s="8" customFormat="1" ht="50.25" customHeight="1" x14ac:dyDescent="0.35">
      <c r="A186" s="98" t="s">
        <v>212</v>
      </c>
      <c r="B186" s="27">
        <v>1</v>
      </c>
      <c r="C186" s="28" t="s">
        <v>129</v>
      </c>
      <c r="D186" s="29">
        <f t="shared" ref="D186:D205" si="38">IF(E186="NA","0",E186)</f>
        <v>0</v>
      </c>
      <c r="E186" s="6"/>
      <c r="F186" s="6"/>
      <c r="G186" s="40">
        <f t="shared" ref="G186:G205" si="39">IF(E186="NA","",F186)</f>
        <v>0</v>
      </c>
      <c r="H186" s="7"/>
      <c r="I186" s="7"/>
    </row>
    <row r="187" spans="1:9" s="8" customFormat="1" ht="50.25" customHeight="1" x14ac:dyDescent="0.35">
      <c r="A187" s="98"/>
      <c r="B187" s="27">
        <v>2</v>
      </c>
      <c r="C187" s="28" t="s">
        <v>122</v>
      </c>
      <c r="D187" s="29">
        <f t="shared" si="38"/>
        <v>0</v>
      </c>
      <c r="E187" s="6"/>
      <c r="F187" s="6"/>
      <c r="G187" s="40">
        <f t="shared" si="39"/>
        <v>0</v>
      </c>
      <c r="H187" s="7"/>
      <c r="I187" s="7"/>
    </row>
    <row r="188" spans="1:9" s="8" customFormat="1" ht="50.25" customHeight="1" x14ac:dyDescent="0.35">
      <c r="A188" s="98"/>
      <c r="B188" s="27">
        <v>3</v>
      </c>
      <c r="C188" s="28" t="s">
        <v>123</v>
      </c>
      <c r="D188" s="29">
        <f t="shared" si="38"/>
        <v>0</v>
      </c>
      <c r="E188" s="6"/>
      <c r="F188" s="6"/>
      <c r="G188" s="40">
        <f t="shared" si="39"/>
        <v>0</v>
      </c>
      <c r="H188" s="7"/>
      <c r="I188" s="7"/>
    </row>
    <row r="189" spans="1:9" s="8" customFormat="1" ht="50.25" customHeight="1" x14ac:dyDescent="0.35">
      <c r="A189" s="98"/>
      <c r="B189" s="27">
        <v>4</v>
      </c>
      <c r="C189" s="28" t="s">
        <v>124</v>
      </c>
      <c r="D189" s="29">
        <f t="shared" si="38"/>
        <v>0</v>
      </c>
      <c r="E189" s="6"/>
      <c r="F189" s="6"/>
      <c r="G189" s="40">
        <f t="shared" si="39"/>
        <v>0</v>
      </c>
      <c r="H189" s="7"/>
      <c r="I189" s="7"/>
    </row>
    <row r="190" spans="1:9" s="8" customFormat="1" ht="50.25" customHeight="1" x14ac:dyDescent="0.35">
      <c r="A190" s="98"/>
      <c r="B190" s="27">
        <v>5</v>
      </c>
      <c r="C190" s="28" t="s">
        <v>213</v>
      </c>
      <c r="D190" s="29">
        <f t="shared" si="38"/>
        <v>0</v>
      </c>
      <c r="E190" s="6"/>
      <c r="F190" s="6"/>
      <c r="G190" s="40">
        <f t="shared" si="39"/>
        <v>0</v>
      </c>
      <c r="H190" s="7"/>
      <c r="I190" s="7"/>
    </row>
    <row r="191" spans="1:9" s="8" customFormat="1" ht="50.25" customHeight="1" x14ac:dyDescent="0.35">
      <c r="A191" s="98"/>
      <c r="B191" s="27">
        <v>6</v>
      </c>
      <c r="C191" s="28" t="s">
        <v>274</v>
      </c>
      <c r="D191" s="29">
        <f t="shared" si="38"/>
        <v>0</v>
      </c>
      <c r="E191" s="6"/>
      <c r="F191" s="6"/>
      <c r="G191" s="40">
        <f t="shared" si="39"/>
        <v>0</v>
      </c>
      <c r="H191" s="7"/>
      <c r="I191" s="7"/>
    </row>
    <row r="192" spans="1:9" s="8" customFormat="1" ht="50.25" customHeight="1" x14ac:dyDescent="0.35">
      <c r="A192" s="98"/>
      <c r="B192" s="27">
        <v>7</v>
      </c>
      <c r="C192" s="28" t="s">
        <v>276</v>
      </c>
      <c r="D192" s="29">
        <f t="shared" ref="D192" si="40">IF(E192="NA","0",E192)</f>
        <v>0</v>
      </c>
      <c r="E192" s="6"/>
      <c r="F192" s="6"/>
      <c r="G192" s="40">
        <f t="shared" ref="G192" si="41">IF(E192="NA","",F192)</f>
        <v>0</v>
      </c>
      <c r="H192" s="7"/>
      <c r="I192" s="7"/>
    </row>
    <row r="193" spans="1:9" s="8" customFormat="1" ht="50.25" customHeight="1" x14ac:dyDescent="0.35">
      <c r="A193" s="98"/>
      <c r="B193" s="27">
        <v>8</v>
      </c>
      <c r="C193" s="28" t="s">
        <v>214</v>
      </c>
      <c r="D193" s="29">
        <f t="shared" si="38"/>
        <v>0</v>
      </c>
      <c r="E193" s="6"/>
      <c r="F193" s="6"/>
      <c r="G193" s="40">
        <f t="shared" si="39"/>
        <v>0</v>
      </c>
      <c r="H193" s="7"/>
      <c r="I193" s="7"/>
    </row>
    <row r="194" spans="1:9" s="8" customFormat="1" ht="50.25" customHeight="1" x14ac:dyDescent="0.35">
      <c r="A194" s="98"/>
      <c r="B194" s="27">
        <v>9</v>
      </c>
      <c r="C194" s="28" t="s">
        <v>275</v>
      </c>
      <c r="D194" s="29">
        <f t="shared" ref="D194" si="42">IF(E194="NA","0",E194)</f>
        <v>0</v>
      </c>
      <c r="E194" s="6"/>
      <c r="F194" s="6"/>
      <c r="G194" s="40">
        <f t="shared" ref="G194" si="43">IF(E194="NA","",F194)</f>
        <v>0</v>
      </c>
      <c r="H194" s="7"/>
      <c r="I194" s="7"/>
    </row>
    <row r="195" spans="1:9" s="8" customFormat="1" ht="50.25" customHeight="1" x14ac:dyDescent="0.35">
      <c r="A195" s="98"/>
      <c r="B195" s="27">
        <v>10</v>
      </c>
      <c r="C195" s="28" t="s">
        <v>215</v>
      </c>
      <c r="D195" s="29">
        <f t="shared" si="38"/>
        <v>0</v>
      </c>
      <c r="E195" s="6"/>
      <c r="F195" s="6"/>
      <c r="G195" s="40">
        <f t="shared" si="39"/>
        <v>0</v>
      </c>
      <c r="H195" s="7"/>
      <c r="I195" s="7"/>
    </row>
    <row r="196" spans="1:9" s="8" customFormat="1" ht="50.25" customHeight="1" x14ac:dyDescent="0.35">
      <c r="A196" s="98"/>
      <c r="B196" s="27">
        <v>11</v>
      </c>
      <c r="C196" s="28" t="s">
        <v>298</v>
      </c>
      <c r="D196" s="29">
        <f t="shared" ref="D196:D199" si="44">IF(E196="NA","0",E196)</f>
        <v>0</v>
      </c>
      <c r="E196" s="6"/>
      <c r="F196" s="6"/>
      <c r="G196" s="40">
        <f t="shared" ref="G196:G199" si="45">IF(E196="NA","",F196)</f>
        <v>0</v>
      </c>
      <c r="H196" s="7"/>
      <c r="I196" s="7"/>
    </row>
    <row r="197" spans="1:9" s="8" customFormat="1" ht="50.25" customHeight="1" x14ac:dyDescent="0.35">
      <c r="A197" s="98"/>
      <c r="B197" s="27">
        <v>12</v>
      </c>
      <c r="C197" s="28" t="s">
        <v>277</v>
      </c>
      <c r="D197" s="29">
        <f t="shared" si="44"/>
        <v>0</v>
      </c>
      <c r="E197" s="6"/>
      <c r="F197" s="6"/>
      <c r="G197" s="40">
        <f t="shared" si="45"/>
        <v>0</v>
      </c>
      <c r="H197" s="7"/>
      <c r="I197" s="7"/>
    </row>
    <row r="198" spans="1:9" s="8" customFormat="1" ht="50.25" customHeight="1" x14ac:dyDescent="0.35">
      <c r="A198" s="98"/>
      <c r="B198" s="27">
        <v>13</v>
      </c>
      <c r="C198" s="28" t="s">
        <v>278</v>
      </c>
      <c r="D198" s="29">
        <f t="shared" si="44"/>
        <v>0</v>
      </c>
      <c r="E198" s="6"/>
      <c r="F198" s="6"/>
      <c r="G198" s="40">
        <f t="shared" si="45"/>
        <v>0</v>
      </c>
      <c r="H198" s="7"/>
      <c r="I198" s="7"/>
    </row>
    <row r="199" spans="1:9" s="8" customFormat="1" ht="50.25" customHeight="1" x14ac:dyDescent="0.35">
      <c r="A199" s="98"/>
      <c r="B199" s="27">
        <v>14</v>
      </c>
      <c r="C199" s="28" t="s">
        <v>279</v>
      </c>
      <c r="D199" s="29">
        <f t="shared" si="44"/>
        <v>0</v>
      </c>
      <c r="E199" s="6"/>
      <c r="F199" s="6"/>
      <c r="G199" s="40">
        <f t="shared" si="45"/>
        <v>0</v>
      </c>
      <c r="H199" s="7"/>
      <c r="I199" s="7"/>
    </row>
    <row r="200" spans="1:9" s="8" customFormat="1" ht="50.25" customHeight="1" x14ac:dyDescent="0.35">
      <c r="A200" s="98"/>
      <c r="B200" s="27">
        <v>15</v>
      </c>
      <c r="C200" s="28" t="s">
        <v>280</v>
      </c>
      <c r="D200" s="29">
        <f t="shared" si="38"/>
        <v>0</v>
      </c>
      <c r="E200" s="6"/>
      <c r="F200" s="6"/>
      <c r="G200" s="40">
        <f t="shared" si="39"/>
        <v>0</v>
      </c>
      <c r="H200" s="7"/>
      <c r="I200" s="7"/>
    </row>
    <row r="201" spans="1:9" s="8" customFormat="1" ht="50.25" customHeight="1" x14ac:dyDescent="0.35">
      <c r="A201" s="98" t="s">
        <v>268</v>
      </c>
      <c r="B201" s="27">
        <v>1</v>
      </c>
      <c r="C201" s="28" t="s">
        <v>270</v>
      </c>
      <c r="D201" s="29">
        <f t="shared" si="38"/>
        <v>0</v>
      </c>
      <c r="E201" s="6"/>
      <c r="F201" s="6"/>
      <c r="G201" s="40">
        <f t="shared" si="39"/>
        <v>0</v>
      </c>
      <c r="H201" s="7"/>
      <c r="I201" s="7"/>
    </row>
    <row r="202" spans="1:9" s="8" customFormat="1" ht="50.25" customHeight="1" x14ac:dyDescent="0.35">
      <c r="A202" s="98"/>
      <c r="B202" s="27">
        <v>2</v>
      </c>
      <c r="C202" s="28" t="s">
        <v>269</v>
      </c>
      <c r="D202" s="29">
        <f t="shared" si="38"/>
        <v>0</v>
      </c>
      <c r="E202" s="6"/>
      <c r="F202" s="6"/>
      <c r="G202" s="40">
        <f t="shared" si="39"/>
        <v>0</v>
      </c>
      <c r="H202" s="7"/>
      <c r="I202" s="7"/>
    </row>
    <row r="203" spans="1:9" s="8" customFormat="1" ht="50.25" customHeight="1" x14ac:dyDescent="0.35">
      <c r="A203" s="98"/>
      <c r="B203" s="27">
        <v>3</v>
      </c>
      <c r="C203" s="28" t="s">
        <v>152</v>
      </c>
      <c r="D203" s="29">
        <f t="shared" si="38"/>
        <v>0</v>
      </c>
      <c r="E203" s="6"/>
      <c r="F203" s="6"/>
      <c r="G203" s="40">
        <f t="shared" si="39"/>
        <v>0</v>
      </c>
      <c r="H203" s="7"/>
      <c r="I203" s="7"/>
    </row>
    <row r="204" spans="1:9" s="8" customFormat="1" ht="50.25" customHeight="1" x14ac:dyDescent="0.35">
      <c r="A204" s="98"/>
      <c r="B204" s="27">
        <v>4</v>
      </c>
      <c r="C204" s="28" t="s">
        <v>154</v>
      </c>
      <c r="D204" s="29">
        <f t="shared" si="38"/>
        <v>0</v>
      </c>
      <c r="E204" s="6"/>
      <c r="F204" s="6"/>
      <c r="G204" s="40">
        <f t="shared" si="39"/>
        <v>0</v>
      </c>
      <c r="H204" s="7"/>
      <c r="I204" s="7"/>
    </row>
    <row r="205" spans="1:9" s="8" customFormat="1" ht="50.25" customHeight="1" x14ac:dyDescent="0.35">
      <c r="A205" s="98"/>
      <c r="B205" s="27">
        <v>5</v>
      </c>
      <c r="C205" s="28" t="s">
        <v>153</v>
      </c>
      <c r="D205" s="29">
        <f t="shared" si="38"/>
        <v>0</v>
      </c>
      <c r="E205" s="6"/>
      <c r="F205" s="6"/>
      <c r="G205" s="40">
        <f t="shared" si="39"/>
        <v>0</v>
      </c>
      <c r="H205" s="7"/>
      <c r="I205" s="7"/>
    </row>
    <row r="206" spans="1:9" s="8" customFormat="1" ht="48.75" customHeight="1" x14ac:dyDescent="0.35">
      <c r="A206" s="100" t="s">
        <v>6</v>
      </c>
      <c r="B206" s="32">
        <v>1</v>
      </c>
      <c r="C206" s="33" t="s">
        <v>64</v>
      </c>
      <c r="D206" s="34">
        <f>IF(E206="NA","0",E206)</f>
        <v>0</v>
      </c>
      <c r="E206" s="9"/>
      <c r="F206" s="9"/>
      <c r="G206" s="41">
        <f>IF(E206="NA","",F206)</f>
        <v>0</v>
      </c>
      <c r="H206" s="10"/>
      <c r="I206" s="10"/>
    </row>
    <row r="207" spans="1:9" s="8" customFormat="1" ht="48.75" customHeight="1" x14ac:dyDescent="0.35">
      <c r="A207" s="99"/>
      <c r="B207" s="27">
        <v>2</v>
      </c>
      <c r="C207" s="28" t="s">
        <v>63</v>
      </c>
      <c r="D207" s="29">
        <f t="shared" ref="D207:D218" si="46">IF(E207="NA","0",E207)</f>
        <v>0</v>
      </c>
      <c r="E207" s="6"/>
      <c r="F207" s="6"/>
      <c r="G207" s="40">
        <f t="shared" ref="G207:G218" si="47">IF(E207="NA","",F207)</f>
        <v>0</v>
      </c>
      <c r="H207" s="7"/>
      <c r="I207" s="7"/>
    </row>
    <row r="208" spans="1:9" s="8" customFormat="1" ht="48.75" customHeight="1" x14ac:dyDescent="0.35">
      <c r="A208" s="99"/>
      <c r="B208" s="27">
        <v>3</v>
      </c>
      <c r="C208" s="30" t="s">
        <v>136</v>
      </c>
      <c r="D208" s="29">
        <f t="shared" si="46"/>
        <v>0</v>
      </c>
      <c r="E208" s="6"/>
      <c r="F208" s="6"/>
      <c r="G208" s="40">
        <f t="shared" si="47"/>
        <v>0</v>
      </c>
      <c r="H208" s="7"/>
      <c r="I208" s="7"/>
    </row>
    <row r="209" spans="1:9" s="8" customFormat="1" ht="48.75" customHeight="1" x14ac:dyDescent="0.35">
      <c r="A209" s="99"/>
      <c r="B209" s="27">
        <v>4</v>
      </c>
      <c r="C209" s="30" t="s">
        <v>223</v>
      </c>
      <c r="D209" s="29">
        <f t="shared" si="46"/>
        <v>0</v>
      </c>
      <c r="E209" s="6"/>
      <c r="F209" s="6"/>
      <c r="G209" s="40">
        <f t="shared" si="47"/>
        <v>0</v>
      </c>
      <c r="H209" s="7"/>
      <c r="I209" s="7"/>
    </row>
    <row r="210" spans="1:9" s="8" customFormat="1" ht="48.75" customHeight="1" x14ac:dyDescent="0.35">
      <c r="A210" s="99"/>
      <c r="B210" s="27">
        <v>5</v>
      </c>
      <c r="C210" s="30" t="s">
        <v>222</v>
      </c>
      <c r="D210" s="29">
        <f t="shared" si="46"/>
        <v>0</v>
      </c>
      <c r="E210" s="6"/>
      <c r="F210" s="6"/>
      <c r="G210" s="40">
        <f t="shared" si="47"/>
        <v>0</v>
      </c>
      <c r="H210" s="7"/>
      <c r="I210" s="7"/>
    </row>
    <row r="211" spans="1:9" s="8" customFormat="1" ht="48.75" customHeight="1" x14ac:dyDescent="0.35">
      <c r="A211" s="99"/>
      <c r="B211" s="27">
        <v>6</v>
      </c>
      <c r="C211" s="30" t="s">
        <v>145</v>
      </c>
      <c r="D211" s="29">
        <f t="shared" si="46"/>
        <v>0</v>
      </c>
      <c r="E211" s="6"/>
      <c r="F211" s="6"/>
      <c r="G211" s="40">
        <f t="shared" si="47"/>
        <v>0</v>
      </c>
      <c r="H211" s="7"/>
      <c r="I211" s="7"/>
    </row>
    <row r="212" spans="1:9" s="8" customFormat="1" ht="48.75" customHeight="1" x14ac:dyDescent="0.35">
      <c r="A212" s="99"/>
      <c r="B212" s="27">
        <v>7</v>
      </c>
      <c r="C212" s="28" t="s">
        <v>65</v>
      </c>
      <c r="D212" s="29">
        <f t="shared" si="46"/>
        <v>0</v>
      </c>
      <c r="E212" s="6"/>
      <c r="F212" s="6"/>
      <c r="G212" s="40">
        <f t="shared" si="47"/>
        <v>0</v>
      </c>
      <c r="H212" s="7"/>
      <c r="I212" s="7"/>
    </row>
    <row r="213" spans="1:9" s="8" customFormat="1" ht="48.75" customHeight="1" x14ac:dyDescent="0.35">
      <c r="A213" s="99"/>
      <c r="B213" s="27">
        <v>8</v>
      </c>
      <c r="C213" s="28" t="s">
        <v>8</v>
      </c>
      <c r="D213" s="29">
        <f t="shared" si="46"/>
        <v>0</v>
      </c>
      <c r="E213" s="6"/>
      <c r="F213" s="6"/>
      <c r="G213" s="40">
        <f t="shared" si="47"/>
        <v>0</v>
      </c>
      <c r="H213" s="7"/>
      <c r="I213" s="7"/>
    </row>
    <row r="214" spans="1:9" s="8" customFormat="1" ht="48.75" customHeight="1" x14ac:dyDescent="0.35">
      <c r="A214" s="99"/>
      <c r="B214" s="27">
        <v>9</v>
      </c>
      <c r="C214" s="28" t="s">
        <v>7</v>
      </c>
      <c r="D214" s="29">
        <f t="shared" si="46"/>
        <v>0</v>
      </c>
      <c r="E214" s="6"/>
      <c r="F214" s="6"/>
      <c r="G214" s="40">
        <f t="shared" si="47"/>
        <v>0</v>
      </c>
      <c r="H214" s="7"/>
      <c r="I214" s="7"/>
    </row>
    <row r="215" spans="1:9" s="8" customFormat="1" ht="48.75" customHeight="1" x14ac:dyDescent="0.35">
      <c r="A215" s="99"/>
      <c r="B215" s="27">
        <v>10</v>
      </c>
      <c r="C215" s="28" t="s">
        <v>227</v>
      </c>
      <c r="D215" s="29">
        <f t="shared" si="46"/>
        <v>0</v>
      </c>
      <c r="E215" s="6"/>
      <c r="F215" s="6"/>
      <c r="G215" s="40">
        <f t="shared" si="47"/>
        <v>0</v>
      </c>
      <c r="H215" s="7"/>
      <c r="I215" s="7"/>
    </row>
    <row r="216" spans="1:9" s="8" customFormat="1" ht="48.75" customHeight="1" x14ac:dyDescent="0.35">
      <c r="A216" s="99" t="s">
        <v>10</v>
      </c>
      <c r="B216" s="27">
        <v>1</v>
      </c>
      <c r="C216" s="28" t="s">
        <v>281</v>
      </c>
      <c r="D216" s="29">
        <f t="shared" si="46"/>
        <v>0</v>
      </c>
      <c r="E216" s="6"/>
      <c r="F216" s="6"/>
      <c r="G216" s="40">
        <f t="shared" si="47"/>
        <v>0</v>
      </c>
      <c r="H216" s="7"/>
      <c r="I216" s="7"/>
    </row>
    <row r="217" spans="1:9" s="8" customFormat="1" ht="48.75" customHeight="1" x14ac:dyDescent="0.35">
      <c r="A217" s="99"/>
      <c r="B217" s="27">
        <v>2</v>
      </c>
      <c r="C217" s="28" t="s">
        <v>50</v>
      </c>
      <c r="D217" s="29">
        <f t="shared" si="46"/>
        <v>0</v>
      </c>
      <c r="E217" s="6"/>
      <c r="F217" s="6"/>
      <c r="G217" s="40">
        <f t="shared" si="47"/>
        <v>0</v>
      </c>
      <c r="H217" s="7"/>
      <c r="I217" s="7"/>
    </row>
    <row r="218" spans="1:9" s="8" customFormat="1" ht="48.75" customHeight="1" x14ac:dyDescent="0.35">
      <c r="A218" s="99"/>
      <c r="B218" s="27">
        <v>3</v>
      </c>
      <c r="C218" s="28" t="s">
        <v>12</v>
      </c>
      <c r="D218" s="29">
        <f t="shared" si="46"/>
        <v>0</v>
      </c>
      <c r="E218" s="6"/>
      <c r="F218" s="6"/>
      <c r="G218" s="40">
        <f t="shared" si="47"/>
        <v>0</v>
      </c>
      <c r="H218" s="7"/>
      <c r="I218" s="7"/>
    </row>
    <row r="219" spans="1:9" s="8" customFormat="1" ht="48.75" customHeight="1" x14ac:dyDescent="0.35">
      <c r="A219" s="99"/>
      <c r="B219" s="27">
        <v>4</v>
      </c>
      <c r="C219" s="28" t="s">
        <v>282</v>
      </c>
      <c r="D219" s="29">
        <f t="shared" ref="D219:D224" si="48">IF(E219="NA","0",E219)</f>
        <v>0</v>
      </c>
      <c r="E219" s="6"/>
      <c r="F219" s="6"/>
      <c r="G219" s="40">
        <f t="shared" ref="G219:G224" si="49">IF(E219="NA","",F219)</f>
        <v>0</v>
      </c>
      <c r="H219" s="7"/>
      <c r="I219" s="7"/>
    </row>
    <row r="220" spans="1:9" s="8" customFormat="1" ht="48.75" customHeight="1" x14ac:dyDescent="0.35">
      <c r="A220" s="99"/>
      <c r="B220" s="27">
        <v>5</v>
      </c>
      <c r="C220" s="28" t="s">
        <v>224</v>
      </c>
      <c r="D220" s="29">
        <f t="shared" si="48"/>
        <v>0</v>
      </c>
      <c r="E220" s="6"/>
      <c r="F220" s="6"/>
      <c r="G220" s="40">
        <f t="shared" si="49"/>
        <v>0</v>
      </c>
      <c r="H220" s="7"/>
      <c r="I220" s="7"/>
    </row>
    <row r="221" spans="1:9" s="8" customFormat="1" ht="48.75" customHeight="1" x14ac:dyDescent="0.35">
      <c r="A221" s="99"/>
      <c r="B221" s="27">
        <v>6</v>
      </c>
      <c r="C221" s="28" t="s">
        <v>244</v>
      </c>
      <c r="D221" s="29">
        <f t="shared" si="48"/>
        <v>0</v>
      </c>
      <c r="E221" s="6"/>
      <c r="F221" s="6"/>
      <c r="G221" s="40">
        <f t="shared" si="49"/>
        <v>0</v>
      </c>
      <c r="H221" s="7"/>
      <c r="I221" s="7"/>
    </row>
    <row r="222" spans="1:9" s="8" customFormat="1" ht="48.75" customHeight="1" x14ac:dyDescent="0.35">
      <c r="A222" s="99"/>
      <c r="B222" s="27">
        <v>7</v>
      </c>
      <c r="C222" s="28" t="s">
        <v>283</v>
      </c>
      <c r="D222" s="29">
        <f t="shared" si="48"/>
        <v>0</v>
      </c>
      <c r="E222" s="6"/>
      <c r="F222" s="6"/>
      <c r="G222" s="40">
        <f t="shared" si="49"/>
        <v>0</v>
      </c>
      <c r="H222" s="7"/>
      <c r="I222" s="7"/>
    </row>
    <row r="223" spans="1:9" s="8" customFormat="1" ht="48.75" customHeight="1" x14ac:dyDescent="0.35">
      <c r="A223" s="99"/>
      <c r="B223" s="27">
        <v>8</v>
      </c>
      <c r="C223" s="28" t="s">
        <v>225</v>
      </c>
      <c r="D223" s="29">
        <f t="shared" si="48"/>
        <v>0</v>
      </c>
      <c r="E223" s="6"/>
      <c r="F223" s="6"/>
      <c r="G223" s="40">
        <f t="shared" si="49"/>
        <v>0</v>
      </c>
      <c r="H223" s="7"/>
      <c r="I223" s="7"/>
    </row>
    <row r="224" spans="1:9" s="8" customFormat="1" ht="48.75" customHeight="1" x14ac:dyDescent="0.35">
      <c r="A224" s="99"/>
      <c r="B224" s="27">
        <v>9</v>
      </c>
      <c r="C224" s="28" t="s">
        <v>13</v>
      </c>
      <c r="D224" s="29">
        <f t="shared" si="48"/>
        <v>0</v>
      </c>
      <c r="E224" s="6"/>
      <c r="F224" s="6"/>
      <c r="G224" s="40">
        <f t="shared" si="49"/>
        <v>0</v>
      </c>
      <c r="H224" s="7"/>
      <c r="I224" s="7"/>
    </row>
    <row r="225" spans="1:9" s="8" customFormat="1" ht="48.75" customHeight="1" x14ac:dyDescent="0.35">
      <c r="A225" s="99"/>
      <c r="B225" s="27">
        <v>10</v>
      </c>
      <c r="C225" s="28" t="s">
        <v>226</v>
      </c>
      <c r="D225" s="29">
        <f t="shared" ref="D225:D235" si="50">IF(E225="NA","0",E225)</f>
        <v>0</v>
      </c>
      <c r="E225" s="6"/>
      <c r="F225" s="6"/>
      <c r="G225" s="40">
        <f t="shared" ref="G225:G235" si="51">IF(E225="NA","",F225)</f>
        <v>0</v>
      </c>
      <c r="H225" s="7"/>
      <c r="I225" s="7"/>
    </row>
    <row r="226" spans="1:9" s="8" customFormat="1" ht="50.25" customHeight="1" x14ac:dyDescent="0.35">
      <c r="A226" s="98" t="s">
        <v>151</v>
      </c>
      <c r="B226" s="27">
        <v>1</v>
      </c>
      <c r="C226" s="28" t="s">
        <v>257</v>
      </c>
      <c r="D226" s="29">
        <f t="shared" si="50"/>
        <v>0</v>
      </c>
      <c r="E226" s="6"/>
      <c r="F226" s="6"/>
      <c r="G226" s="40">
        <f t="shared" si="51"/>
        <v>0</v>
      </c>
      <c r="H226" s="7"/>
      <c r="I226" s="7"/>
    </row>
    <row r="227" spans="1:9" s="8" customFormat="1" ht="50.25" customHeight="1" x14ac:dyDescent="0.35">
      <c r="A227" s="98"/>
      <c r="B227" s="27">
        <v>2</v>
      </c>
      <c r="C227" s="28" t="s">
        <v>230</v>
      </c>
      <c r="D227" s="29">
        <f t="shared" si="50"/>
        <v>0</v>
      </c>
      <c r="E227" s="6"/>
      <c r="F227" s="6"/>
      <c r="G227" s="40">
        <f t="shared" si="51"/>
        <v>0</v>
      </c>
      <c r="H227" s="7"/>
      <c r="I227" s="7"/>
    </row>
    <row r="228" spans="1:9" s="8" customFormat="1" ht="50.25" customHeight="1" x14ac:dyDescent="0.35">
      <c r="A228" s="98"/>
      <c r="B228" s="27">
        <v>3</v>
      </c>
      <c r="C228" s="28" t="s">
        <v>216</v>
      </c>
      <c r="D228" s="29">
        <f t="shared" si="50"/>
        <v>0</v>
      </c>
      <c r="E228" s="6"/>
      <c r="F228" s="6"/>
      <c r="G228" s="40">
        <f t="shared" si="51"/>
        <v>0</v>
      </c>
      <c r="H228" s="7"/>
      <c r="I228" s="7"/>
    </row>
    <row r="229" spans="1:9" s="8" customFormat="1" ht="50.25" customHeight="1" x14ac:dyDescent="0.35">
      <c r="A229" s="98"/>
      <c r="B229" s="27">
        <v>4</v>
      </c>
      <c r="C229" s="28" t="s">
        <v>228</v>
      </c>
      <c r="D229" s="29">
        <f t="shared" si="50"/>
        <v>0</v>
      </c>
      <c r="E229" s="6"/>
      <c r="F229" s="6"/>
      <c r="G229" s="40">
        <f t="shared" si="51"/>
        <v>0</v>
      </c>
      <c r="H229" s="7"/>
      <c r="I229" s="7"/>
    </row>
    <row r="230" spans="1:9" s="8" customFormat="1" ht="50.25" customHeight="1" x14ac:dyDescent="0.35">
      <c r="A230" s="98"/>
      <c r="B230" s="27">
        <v>5</v>
      </c>
      <c r="C230" s="28" t="s">
        <v>229</v>
      </c>
      <c r="D230" s="29">
        <f t="shared" si="50"/>
        <v>0</v>
      </c>
      <c r="E230" s="6"/>
      <c r="F230" s="6"/>
      <c r="G230" s="40">
        <f t="shared" si="51"/>
        <v>0</v>
      </c>
      <c r="H230" s="7"/>
      <c r="I230" s="7"/>
    </row>
    <row r="231" spans="1:9" s="8" customFormat="1" ht="50.25" customHeight="1" x14ac:dyDescent="0.35">
      <c r="A231" s="98"/>
      <c r="B231" s="27">
        <v>6</v>
      </c>
      <c r="C231" s="28" t="s">
        <v>217</v>
      </c>
      <c r="D231" s="29">
        <f t="shared" si="50"/>
        <v>0</v>
      </c>
      <c r="E231" s="6"/>
      <c r="F231" s="6"/>
      <c r="G231" s="40">
        <f t="shared" si="51"/>
        <v>0</v>
      </c>
      <c r="H231" s="7"/>
      <c r="I231" s="7"/>
    </row>
    <row r="232" spans="1:9" s="8" customFormat="1" ht="50.25" customHeight="1" x14ac:dyDescent="0.35">
      <c r="A232" s="98"/>
      <c r="B232" s="27">
        <v>7</v>
      </c>
      <c r="C232" s="28" t="s">
        <v>231</v>
      </c>
      <c r="D232" s="29">
        <f t="shared" si="50"/>
        <v>0</v>
      </c>
      <c r="E232" s="6"/>
      <c r="F232" s="6"/>
      <c r="G232" s="40">
        <f t="shared" si="51"/>
        <v>0</v>
      </c>
      <c r="H232" s="7"/>
      <c r="I232" s="7"/>
    </row>
    <row r="233" spans="1:9" s="8" customFormat="1" ht="50.25" customHeight="1" x14ac:dyDescent="0.35">
      <c r="A233" s="98"/>
      <c r="B233" s="27">
        <v>8</v>
      </c>
      <c r="C233" s="28" t="s">
        <v>68</v>
      </c>
      <c r="D233" s="29">
        <f t="shared" si="50"/>
        <v>0</v>
      </c>
      <c r="E233" s="6"/>
      <c r="F233" s="6"/>
      <c r="G233" s="40">
        <f t="shared" si="51"/>
        <v>0</v>
      </c>
      <c r="H233" s="7"/>
      <c r="I233" s="7"/>
    </row>
    <row r="234" spans="1:9" s="8" customFormat="1" ht="50.25" customHeight="1" x14ac:dyDescent="0.35">
      <c r="A234" s="98"/>
      <c r="B234" s="27">
        <v>9</v>
      </c>
      <c r="C234" s="28" t="s">
        <v>232</v>
      </c>
      <c r="D234" s="29">
        <f t="shared" si="50"/>
        <v>0</v>
      </c>
      <c r="E234" s="6"/>
      <c r="F234" s="6"/>
      <c r="G234" s="40">
        <f t="shared" si="51"/>
        <v>0</v>
      </c>
      <c r="H234" s="7"/>
      <c r="I234" s="7"/>
    </row>
    <row r="235" spans="1:9" s="8" customFormat="1" ht="50.25" customHeight="1" x14ac:dyDescent="0.35">
      <c r="A235" s="98"/>
      <c r="B235" s="27">
        <v>10</v>
      </c>
      <c r="C235" s="31" t="s">
        <v>150</v>
      </c>
      <c r="D235" s="29">
        <f t="shared" si="50"/>
        <v>0</v>
      </c>
      <c r="E235" s="6"/>
      <c r="F235" s="6"/>
      <c r="G235" s="40">
        <f t="shared" si="51"/>
        <v>0</v>
      </c>
      <c r="H235" s="7"/>
      <c r="I235" s="7"/>
    </row>
    <row r="236" spans="1:9" s="8" customFormat="1" ht="50.25" customHeight="1" x14ac:dyDescent="0.35">
      <c r="A236" s="98" t="s">
        <v>536</v>
      </c>
      <c r="B236" s="27">
        <v>1</v>
      </c>
      <c r="C236" s="30" t="s">
        <v>260</v>
      </c>
      <c r="D236" s="29">
        <f t="shared" si="36"/>
        <v>0</v>
      </c>
      <c r="E236" s="6"/>
      <c r="F236" s="6"/>
      <c r="G236" s="40">
        <f t="shared" si="37"/>
        <v>0</v>
      </c>
      <c r="H236" s="7"/>
      <c r="I236" s="7"/>
    </row>
    <row r="237" spans="1:9" s="8" customFormat="1" ht="50.25" customHeight="1" x14ac:dyDescent="0.35">
      <c r="A237" s="98"/>
      <c r="B237" s="27">
        <v>2</v>
      </c>
      <c r="C237" s="30" t="s">
        <v>155</v>
      </c>
      <c r="D237" s="29">
        <f t="shared" si="36"/>
        <v>0</v>
      </c>
      <c r="E237" s="6"/>
      <c r="F237" s="6"/>
      <c r="G237" s="40">
        <f t="shared" si="37"/>
        <v>0</v>
      </c>
      <c r="H237" s="7"/>
      <c r="I237" s="7"/>
    </row>
    <row r="238" spans="1:9" s="8" customFormat="1" ht="50.25" customHeight="1" x14ac:dyDescent="0.35">
      <c r="A238" s="98"/>
      <c r="B238" s="27">
        <v>3</v>
      </c>
      <c r="C238" s="30" t="s">
        <v>259</v>
      </c>
      <c r="D238" s="29">
        <f t="shared" si="36"/>
        <v>0</v>
      </c>
      <c r="E238" s="6"/>
      <c r="F238" s="6"/>
      <c r="G238" s="40">
        <f t="shared" si="37"/>
        <v>0</v>
      </c>
      <c r="H238" s="7"/>
      <c r="I238" s="7"/>
    </row>
    <row r="239" spans="1:9" s="8" customFormat="1" ht="50.25" customHeight="1" x14ac:dyDescent="0.35">
      <c r="A239" s="98"/>
      <c r="B239" s="27">
        <v>4</v>
      </c>
      <c r="C239" s="30" t="s">
        <v>236</v>
      </c>
      <c r="D239" s="29">
        <f t="shared" si="36"/>
        <v>0</v>
      </c>
      <c r="E239" s="6"/>
      <c r="F239" s="6"/>
      <c r="G239" s="40">
        <f t="shared" si="37"/>
        <v>0</v>
      </c>
      <c r="H239" s="7"/>
      <c r="I239" s="7"/>
    </row>
    <row r="240" spans="1:9" s="8" customFormat="1" ht="50.25" customHeight="1" x14ac:dyDescent="0.35">
      <c r="A240" s="98"/>
      <c r="B240" s="27">
        <v>5</v>
      </c>
      <c r="C240" s="30" t="s">
        <v>237</v>
      </c>
      <c r="D240" s="29">
        <f t="shared" si="36"/>
        <v>0</v>
      </c>
      <c r="E240" s="6"/>
      <c r="F240" s="6"/>
      <c r="G240" s="40">
        <f t="shared" si="37"/>
        <v>0</v>
      </c>
      <c r="H240" s="7"/>
      <c r="I240" s="7"/>
    </row>
    <row r="241" spans="1:9" s="8" customFormat="1" ht="50.25" customHeight="1" x14ac:dyDescent="0.35">
      <c r="A241" s="98" t="s">
        <v>267</v>
      </c>
      <c r="B241" s="27">
        <v>1</v>
      </c>
      <c r="C241" s="30" t="s">
        <v>156</v>
      </c>
      <c r="D241" s="29">
        <f t="shared" si="36"/>
        <v>0</v>
      </c>
      <c r="E241" s="6"/>
      <c r="F241" s="6"/>
      <c r="G241" s="40">
        <f t="shared" si="37"/>
        <v>0</v>
      </c>
      <c r="H241" s="7"/>
      <c r="I241" s="7"/>
    </row>
    <row r="242" spans="1:9" s="8" customFormat="1" ht="50.25" customHeight="1" x14ac:dyDescent="0.35">
      <c r="A242" s="98"/>
      <c r="B242" s="27">
        <v>2</v>
      </c>
      <c r="C242" s="30" t="s">
        <v>241</v>
      </c>
      <c r="D242" s="29">
        <f t="shared" ref="D242:D304" si="52">IF(E242="NA","0",E242)</f>
        <v>0</v>
      </c>
      <c r="E242" s="6"/>
      <c r="F242" s="6"/>
      <c r="G242" s="40">
        <f t="shared" ref="G242:G304" si="53">IF(E242="NA","",F242)</f>
        <v>0</v>
      </c>
      <c r="H242" s="7"/>
      <c r="I242" s="7"/>
    </row>
    <row r="243" spans="1:9" s="8" customFormat="1" ht="50.25" customHeight="1" x14ac:dyDescent="0.35">
      <c r="A243" s="98"/>
      <c r="B243" s="27">
        <v>3</v>
      </c>
      <c r="C243" s="30" t="s">
        <v>238</v>
      </c>
      <c r="D243" s="29">
        <f t="shared" si="52"/>
        <v>0</v>
      </c>
      <c r="E243" s="6"/>
      <c r="F243" s="6"/>
      <c r="G243" s="40">
        <f t="shared" si="53"/>
        <v>0</v>
      </c>
      <c r="H243" s="7"/>
      <c r="I243" s="7"/>
    </row>
    <row r="244" spans="1:9" s="8" customFormat="1" ht="50.25" customHeight="1" x14ac:dyDescent="0.35">
      <c r="A244" s="98"/>
      <c r="B244" s="27">
        <v>4</v>
      </c>
      <c r="C244" s="30" t="s">
        <v>239</v>
      </c>
      <c r="D244" s="29">
        <f t="shared" si="52"/>
        <v>0</v>
      </c>
      <c r="E244" s="6"/>
      <c r="F244" s="6"/>
      <c r="G244" s="40">
        <f t="shared" si="53"/>
        <v>0</v>
      </c>
      <c r="H244" s="7"/>
      <c r="I244" s="7"/>
    </row>
    <row r="245" spans="1:9" s="8" customFormat="1" ht="50.25" customHeight="1" x14ac:dyDescent="0.35">
      <c r="A245" s="98"/>
      <c r="B245" s="27">
        <v>5</v>
      </c>
      <c r="C245" s="30" t="s">
        <v>157</v>
      </c>
      <c r="D245" s="29">
        <f t="shared" si="52"/>
        <v>0</v>
      </c>
      <c r="E245" s="6"/>
      <c r="F245" s="6"/>
      <c r="G245" s="40">
        <f t="shared" si="53"/>
        <v>0</v>
      </c>
      <c r="H245" s="7"/>
      <c r="I245" s="7"/>
    </row>
    <row r="246" spans="1:9" s="8" customFormat="1" ht="50.25" customHeight="1" x14ac:dyDescent="0.35">
      <c r="A246" s="98"/>
      <c r="B246" s="27">
        <v>6</v>
      </c>
      <c r="C246" s="30" t="s">
        <v>158</v>
      </c>
      <c r="D246" s="29">
        <f t="shared" si="52"/>
        <v>0</v>
      </c>
      <c r="E246" s="6"/>
      <c r="F246" s="6"/>
      <c r="G246" s="40">
        <f t="shared" si="53"/>
        <v>0</v>
      </c>
      <c r="H246" s="7"/>
      <c r="I246" s="7"/>
    </row>
    <row r="247" spans="1:9" s="8" customFormat="1" ht="50.25" customHeight="1" x14ac:dyDescent="0.35">
      <c r="A247" s="98"/>
      <c r="B247" s="27">
        <v>7</v>
      </c>
      <c r="C247" s="30" t="s">
        <v>242</v>
      </c>
      <c r="D247" s="29">
        <f t="shared" si="52"/>
        <v>0</v>
      </c>
      <c r="E247" s="6"/>
      <c r="F247" s="6"/>
      <c r="G247" s="40">
        <f t="shared" si="53"/>
        <v>0</v>
      </c>
      <c r="H247" s="7"/>
      <c r="I247" s="7"/>
    </row>
    <row r="248" spans="1:9" s="8" customFormat="1" ht="50.25" customHeight="1" x14ac:dyDescent="0.35">
      <c r="A248" s="98"/>
      <c r="B248" s="27">
        <v>8</v>
      </c>
      <c r="C248" s="30" t="s">
        <v>243</v>
      </c>
      <c r="D248" s="29">
        <f t="shared" si="52"/>
        <v>0</v>
      </c>
      <c r="E248" s="6"/>
      <c r="F248" s="6"/>
      <c r="G248" s="40">
        <f t="shared" si="53"/>
        <v>0</v>
      </c>
      <c r="H248" s="7"/>
      <c r="I248" s="7"/>
    </row>
    <row r="249" spans="1:9" s="8" customFormat="1" ht="50.25" customHeight="1" x14ac:dyDescent="0.35">
      <c r="A249" s="98"/>
      <c r="B249" s="27">
        <v>9</v>
      </c>
      <c r="C249" s="30" t="s">
        <v>240</v>
      </c>
      <c r="D249" s="29">
        <f t="shared" si="52"/>
        <v>0</v>
      </c>
      <c r="E249" s="6"/>
      <c r="F249" s="6"/>
      <c r="G249" s="40">
        <f t="shared" si="53"/>
        <v>0</v>
      </c>
      <c r="H249" s="7"/>
      <c r="I249" s="7"/>
    </row>
    <row r="250" spans="1:9" s="8" customFormat="1" ht="50.25" customHeight="1" x14ac:dyDescent="0.35">
      <c r="A250" s="98"/>
      <c r="B250" s="27">
        <v>10</v>
      </c>
      <c r="C250" s="30" t="s">
        <v>159</v>
      </c>
      <c r="D250" s="29">
        <f t="shared" si="52"/>
        <v>0</v>
      </c>
      <c r="E250" s="6"/>
      <c r="F250" s="6"/>
      <c r="G250" s="40">
        <f t="shared" si="53"/>
        <v>0</v>
      </c>
      <c r="H250" s="7"/>
      <c r="I250" s="7"/>
    </row>
    <row r="251" spans="1:9" s="8" customFormat="1" ht="50.25" customHeight="1" x14ac:dyDescent="0.35">
      <c r="A251" s="98" t="s">
        <v>537</v>
      </c>
      <c r="B251" s="27">
        <v>1</v>
      </c>
      <c r="C251" s="30" t="s">
        <v>165</v>
      </c>
      <c r="D251" s="29">
        <f t="shared" si="52"/>
        <v>0</v>
      </c>
      <c r="E251" s="6"/>
      <c r="F251" s="6"/>
      <c r="G251" s="40">
        <f t="shared" si="53"/>
        <v>0</v>
      </c>
      <c r="H251" s="7"/>
      <c r="I251" s="7"/>
    </row>
    <row r="252" spans="1:9" s="8" customFormat="1" ht="50.25" customHeight="1" x14ac:dyDescent="0.35">
      <c r="A252" s="98"/>
      <c r="B252" s="27">
        <v>2</v>
      </c>
      <c r="C252" s="30" t="s">
        <v>166</v>
      </c>
      <c r="D252" s="29">
        <f t="shared" si="52"/>
        <v>0</v>
      </c>
      <c r="E252" s="6"/>
      <c r="F252" s="6"/>
      <c r="G252" s="40">
        <f t="shared" si="53"/>
        <v>0</v>
      </c>
      <c r="H252" s="7"/>
      <c r="I252" s="7"/>
    </row>
    <row r="253" spans="1:9" s="8" customFormat="1" ht="50.25" customHeight="1" x14ac:dyDescent="0.35">
      <c r="A253" s="98"/>
      <c r="B253" s="27">
        <v>3</v>
      </c>
      <c r="C253" s="30" t="s">
        <v>167</v>
      </c>
      <c r="D253" s="29">
        <f t="shared" si="52"/>
        <v>0</v>
      </c>
      <c r="E253" s="6"/>
      <c r="F253" s="6"/>
      <c r="G253" s="40">
        <f t="shared" si="53"/>
        <v>0</v>
      </c>
      <c r="H253" s="7"/>
      <c r="I253" s="7"/>
    </row>
    <row r="254" spans="1:9" s="8" customFormat="1" ht="50.25" customHeight="1" x14ac:dyDescent="0.35">
      <c r="A254" s="98"/>
      <c r="B254" s="27">
        <v>4</v>
      </c>
      <c r="C254" s="30" t="s">
        <v>168</v>
      </c>
      <c r="D254" s="29">
        <f t="shared" si="52"/>
        <v>0</v>
      </c>
      <c r="E254" s="6"/>
      <c r="F254" s="6"/>
      <c r="G254" s="40">
        <f t="shared" si="53"/>
        <v>0</v>
      </c>
      <c r="H254" s="7"/>
      <c r="I254" s="7"/>
    </row>
    <row r="255" spans="1:9" s="8" customFormat="1" ht="50.25" customHeight="1" x14ac:dyDescent="0.35">
      <c r="A255" s="98"/>
      <c r="B255" s="27">
        <v>5</v>
      </c>
      <c r="C255" s="30" t="s">
        <v>169</v>
      </c>
      <c r="D255" s="29">
        <f t="shared" si="52"/>
        <v>0</v>
      </c>
      <c r="E255" s="6"/>
      <c r="F255" s="6"/>
      <c r="G255" s="40">
        <f t="shared" si="53"/>
        <v>0</v>
      </c>
      <c r="H255" s="7"/>
      <c r="I255" s="7"/>
    </row>
    <row r="256" spans="1:9" s="8" customFormat="1" ht="50.25" customHeight="1" x14ac:dyDescent="0.35">
      <c r="A256" s="98"/>
      <c r="B256" s="27">
        <v>6</v>
      </c>
      <c r="C256" s="30" t="s">
        <v>170</v>
      </c>
      <c r="D256" s="29">
        <f t="shared" si="52"/>
        <v>0</v>
      </c>
      <c r="E256" s="6"/>
      <c r="F256" s="6"/>
      <c r="G256" s="40">
        <f t="shared" si="53"/>
        <v>0</v>
      </c>
      <c r="H256" s="7"/>
      <c r="I256" s="7"/>
    </row>
    <row r="257" spans="1:9" s="8" customFormat="1" ht="50.25" customHeight="1" x14ac:dyDescent="0.35">
      <c r="A257" s="98"/>
      <c r="B257" s="27">
        <v>7</v>
      </c>
      <c r="C257" s="30" t="s">
        <v>171</v>
      </c>
      <c r="D257" s="29">
        <f t="shared" si="52"/>
        <v>0</v>
      </c>
      <c r="E257" s="6"/>
      <c r="F257" s="6"/>
      <c r="G257" s="40">
        <f t="shared" si="53"/>
        <v>0</v>
      </c>
      <c r="H257" s="7"/>
      <c r="I257" s="7"/>
    </row>
    <row r="258" spans="1:9" s="8" customFormat="1" ht="50.25" customHeight="1" x14ac:dyDescent="0.35">
      <c r="A258" s="98"/>
      <c r="B258" s="27">
        <v>8</v>
      </c>
      <c r="C258" s="30" t="s">
        <v>172</v>
      </c>
      <c r="D258" s="29">
        <f t="shared" si="52"/>
        <v>0</v>
      </c>
      <c r="E258" s="6"/>
      <c r="F258" s="6"/>
      <c r="G258" s="40">
        <f t="shared" si="53"/>
        <v>0</v>
      </c>
      <c r="H258" s="7"/>
      <c r="I258" s="7"/>
    </row>
    <row r="259" spans="1:9" s="8" customFormat="1" ht="50.25" customHeight="1" x14ac:dyDescent="0.35">
      <c r="A259" s="98"/>
      <c r="B259" s="27">
        <v>9</v>
      </c>
      <c r="C259" s="30" t="s">
        <v>235</v>
      </c>
      <c r="D259" s="29">
        <f t="shared" si="52"/>
        <v>0</v>
      </c>
      <c r="E259" s="6"/>
      <c r="F259" s="6"/>
      <c r="G259" s="40">
        <f t="shared" si="53"/>
        <v>0</v>
      </c>
      <c r="H259" s="7"/>
      <c r="I259" s="7"/>
    </row>
    <row r="260" spans="1:9" s="8" customFormat="1" ht="50.25" customHeight="1" x14ac:dyDescent="0.35">
      <c r="A260" s="98"/>
      <c r="B260" s="27">
        <v>10</v>
      </c>
      <c r="C260" s="30" t="s">
        <v>173</v>
      </c>
      <c r="D260" s="29">
        <f t="shared" si="52"/>
        <v>0</v>
      </c>
      <c r="E260" s="6"/>
      <c r="F260" s="6"/>
      <c r="G260" s="40">
        <f t="shared" si="53"/>
        <v>0</v>
      </c>
      <c r="H260" s="7"/>
      <c r="I260" s="7"/>
    </row>
    <row r="261" spans="1:9" s="8" customFormat="1" ht="50.25" customHeight="1" x14ac:dyDescent="0.35">
      <c r="A261" s="98" t="s">
        <v>538</v>
      </c>
      <c r="B261" s="27">
        <v>1</v>
      </c>
      <c r="C261" s="30" t="s">
        <v>233</v>
      </c>
      <c r="D261" s="29">
        <f t="shared" si="52"/>
        <v>0</v>
      </c>
      <c r="E261" s="6"/>
      <c r="F261" s="6"/>
      <c r="G261" s="40">
        <f t="shared" si="53"/>
        <v>0</v>
      </c>
      <c r="H261" s="7"/>
      <c r="I261" s="7"/>
    </row>
    <row r="262" spans="1:9" s="8" customFormat="1" ht="50.25" customHeight="1" x14ac:dyDescent="0.35">
      <c r="A262" s="98"/>
      <c r="B262" s="27">
        <v>2</v>
      </c>
      <c r="C262" s="30" t="s">
        <v>187</v>
      </c>
      <c r="D262" s="29">
        <f t="shared" si="52"/>
        <v>0</v>
      </c>
      <c r="E262" s="6"/>
      <c r="F262" s="6"/>
      <c r="G262" s="40">
        <f t="shared" si="53"/>
        <v>0</v>
      </c>
      <c r="H262" s="7"/>
      <c r="I262" s="7"/>
    </row>
    <row r="263" spans="1:9" s="8" customFormat="1" ht="50.25" customHeight="1" x14ac:dyDescent="0.35">
      <c r="A263" s="98"/>
      <c r="B263" s="27">
        <v>3</v>
      </c>
      <c r="C263" s="30" t="s">
        <v>540</v>
      </c>
      <c r="D263" s="29">
        <f t="shared" ref="D263:D264" si="54">IF(E263="NA","0",E263)</f>
        <v>0</v>
      </c>
      <c r="E263" s="6"/>
      <c r="F263" s="6"/>
      <c r="G263" s="40">
        <f t="shared" ref="G263:G264" si="55">IF(E263="NA","",F263)</f>
        <v>0</v>
      </c>
      <c r="H263" s="7"/>
      <c r="I263" s="7"/>
    </row>
    <row r="264" spans="1:9" s="8" customFormat="1" ht="50.25" customHeight="1" x14ac:dyDescent="0.35">
      <c r="A264" s="98"/>
      <c r="B264" s="27">
        <v>4</v>
      </c>
      <c r="C264" s="30" t="s">
        <v>234</v>
      </c>
      <c r="D264" s="29">
        <f t="shared" si="54"/>
        <v>0</v>
      </c>
      <c r="E264" s="6"/>
      <c r="F264" s="6"/>
      <c r="G264" s="40">
        <f t="shared" si="55"/>
        <v>0</v>
      </c>
      <c r="H264" s="7"/>
      <c r="I264" s="7"/>
    </row>
    <row r="265" spans="1:9" s="8" customFormat="1" ht="50.25" customHeight="1" x14ac:dyDescent="0.35">
      <c r="A265" s="98"/>
      <c r="B265" s="27">
        <v>5</v>
      </c>
      <c r="C265" s="28" t="s">
        <v>261</v>
      </c>
      <c r="D265" s="29">
        <f t="shared" si="52"/>
        <v>0</v>
      </c>
      <c r="E265" s="6"/>
      <c r="F265" s="6"/>
      <c r="G265" s="40">
        <f t="shared" si="53"/>
        <v>0</v>
      </c>
      <c r="H265" s="7"/>
      <c r="I265" s="7"/>
    </row>
    <row r="266" spans="1:9" s="8" customFormat="1" ht="50.25" customHeight="1" x14ac:dyDescent="0.35">
      <c r="A266" s="98" t="s">
        <v>539</v>
      </c>
      <c r="B266" s="27">
        <v>1</v>
      </c>
      <c r="C266" s="30" t="s">
        <v>163</v>
      </c>
      <c r="D266" s="29">
        <f t="shared" ref="D266:D269" si="56">IF(E266="NA","0",E266)</f>
        <v>0</v>
      </c>
      <c r="E266" s="6"/>
      <c r="F266" s="6"/>
      <c r="G266" s="40">
        <f t="shared" ref="G266:G269" si="57">IF(E266="NA","",F266)</f>
        <v>0</v>
      </c>
      <c r="H266" s="7"/>
      <c r="I266" s="7"/>
    </row>
    <row r="267" spans="1:9" s="8" customFormat="1" ht="50.25" customHeight="1" x14ac:dyDescent="0.35">
      <c r="A267" s="98"/>
      <c r="B267" s="27">
        <v>2</v>
      </c>
      <c r="C267" s="30" t="s">
        <v>258</v>
      </c>
      <c r="D267" s="29">
        <f t="shared" si="56"/>
        <v>0</v>
      </c>
      <c r="E267" s="6"/>
      <c r="F267" s="6"/>
      <c r="G267" s="40">
        <f t="shared" si="57"/>
        <v>0</v>
      </c>
      <c r="H267" s="7"/>
      <c r="I267" s="7"/>
    </row>
    <row r="268" spans="1:9" s="8" customFormat="1" ht="50.25" customHeight="1" x14ac:dyDescent="0.35">
      <c r="A268" s="98"/>
      <c r="B268" s="27">
        <v>3</v>
      </c>
      <c r="C268" s="30" t="s">
        <v>164</v>
      </c>
      <c r="D268" s="29">
        <f t="shared" si="56"/>
        <v>0</v>
      </c>
      <c r="E268" s="6"/>
      <c r="F268" s="6"/>
      <c r="G268" s="40">
        <f t="shared" si="57"/>
        <v>0</v>
      </c>
      <c r="H268" s="7"/>
      <c r="I268" s="7"/>
    </row>
    <row r="269" spans="1:9" s="8" customFormat="1" ht="50.25" customHeight="1" x14ac:dyDescent="0.35">
      <c r="A269" s="98"/>
      <c r="B269" s="27">
        <v>4</v>
      </c>
      <c r="C269" s="30" t="s">
        <v>246</v>
      </c>
      <c r="D269" s="29">
        <f t="shared" si="56"/>
        <v>0</v>
      </c>
      <c r="E269" s="6"/>
      <c r="F269" s="6"/>
      <c r="G269" s="40">
        <f t="shared" si="57"/>
        <v>0</v>
      </c>
      <c r="H269" s="7"/>
      <c r="I269" s="7"/>
    </row>
    <row r="270" spans="1:9" s="8" customFormat="1" ht="50.25" customHeight="1" x14ac:dyDescent="0.35">
      <c r="A270" s="98"/>
      <c r="B270" s="27">
        <v>5</v>
      </c>
      <c r="C270" s="30" t="s">
        <v>245</v>
      </c>
      <c r="D270" s="29">
        <f t="shared" ref="D270:D280" si="58">IF(E270="NA","0",E270)</f>
        <v>0</v>
      </c>
      <c r="E270" s="6"/>
      <c r="F270" s="6"/>
      <c r="G270" s="40">
        <f t="shared" ref="G270:G280" si="59">IF(E270="NA","",F270)</f>
        <v>0</v>
      </c>
      <c r="H270" s="7"/>
      <c r="I270" s="7"/>
    </row>
    <row r="271" spans="1:9" s="8" customFormat="1" ht="50.25" customHeight="1" x14ac:dyDescent="0.35">
      <c r="A271" s="98"/>
      <c r="B271" s="27">
        <v>6</v>
      </c>
      <c r="C271" s="28" t="s">
        <v>250</v>
      </c>
      <c r="D271" s="29">
        <f t="shared" si="58"/>
        <v>0</v>
      </c>
      <c r="E271" s="6"/>
      <c r="F271" s="6"/>
      <c r="G271" s="40">
        <f t="shared" si="59"/>
        <v>0</v>
      </c>
      <c r="H271" s="7"/>
      <c r="I271" s="7"/>
    </row>
    <row r="272" spans="1:9" s="8" customFormat="1" ht="50.25" customHeight="1" x14ac:dyDescent="0.35">
      <c r="A272" s="98"/>
      <c r="B272" s="27">
        <v>7</v>
      </c>
      <c r="C272" s="28" t="s">
        <v>248</v>
      </c>
      <c r="D272" s="29">
        <f t="shared" si="58"/>
        <v>0</v>
      </c>
      <c r="E272" s="6"/>
      <c r="F272" s="6"/>
      <c r="G272" s="40">
        <f t="shared" si="59"/>
        <v>0</v>
      </c>
      <c r="H272" s="7"/>
      <c r="I272" s="7"/>
    </row>
    <row r="273" spans="1:9" s="8" customFormat="1" ht="50.25" customHeight="1" x14ac:dyDescent="0.35">
      <c r="A273" s="98"/>
      <c r="B273" s="27">
        <v>8</v>
      </c>
      <c r="C273" s="28" t="s">
        <v>43</v>
      </c>
      <c r="D273" s="29">
        <f t="shared" si="58"/>
        <v>0</v>
      </c>
      <c r="E273" s="6"/>
      <c r="F273" s="6"/>
      <c r="G273" s="40">
        <f t="shared" si="59"/>
        <v>0</v>
      </c>
      <c r="H273" s="7"/>
      <c r="I273" s="7"/>
    </row>
    <row r="274" spans="1:9" s="8" customFormat="1" ht="50.25" customHeight="1" x14ac:dyDescent="0.35">
      <c r="A274" s="98"/>
      <c r="B274" s="27">
        <v>9</v>
      </c>
      <c r="C274" s="28" t="s">
        <v>188</v>
      </c>
      <c r="D274" s="29">
        <f t="shared" si="58"/>
        <v>0</v>
      </c>
      <c r="E274" s="6"/>
      <c r="F274" s="6"/>
      <c r="G274" s="40">
        <f t="shared" si="59"/>
        <v>0</v>
      </c>
      <c r="H274" s="7"/>
      <c r="I274" s="7"/>
    </row>
    <row r="275" spans="1:9" s="8" customFormat="1" ht="50.25" customHeight="1" x14ac:dyDescent="0.35">
      <c r="A275" s="98"/>
      <c r="B275" s="27">
        <v>10</v>
      </c>
      <c r="C275" s="28" t="s">
        <v>262</v>
      </c>
      <c r="D275" s="29">
        <f t="shared" si="58"/>
        <v>0</v>
      </c>
      <c r="E275" s="6"/>
      <c r="F275" s="6"/>
      <c r="G275" s="40">
        <f t="shared" si="59"/>
        <v>0</v>
      </c>
      <c r="H275" s="7"/>
      <c r="I275" s="7"/>
    </row>
    <row r="276" spans="1:9" s="8" customFormat="1" ht="50.25" customHeight="1" x14ac:dyDescent="0.35">
      <c r="A276" s="98"/>
      <c r="B276" s="27">
        <v>11</v>
      </c>
      <c r="C276" s="28" t="s">
        <v>263</v>
      </c>
      <c r="D276" s="29">
        <f t="shared" si="58"/>
        <v>0</v>
      </c>
      <c r="E276" s="6"/>
      <c r="F276" s="6"/>
      <c r="G276" s="40">
        <f t="shared" si="59"/>
        <v>0</v>
      </c>
      <c r="H276" s="7"/>
      <c r="I276" s="7"/>
    </row>
    <row r="277" spans="1:9" s="8" customFormat="1" ht="50.25" customHeight="1" x14ac:dyDescent="0.35">
      <c r="A277" s="98"/>
      <c r="B277" s="27">
        <v>12</v>
      </c>
      <c r="C277" s="28" t="s">
        <v>264</v>
      </c>
      <c r="D277" s="29">
        <f t="shared" si="58"/>
        <v>0</v>
      </c>
      <c r="E277" s="6"/>
      <c r="F277" s="6"/>
      <c r="G277" s="40">
        <f t="shared" si="59"/>
        <v>0</v>
      </c>
      <c r="H277" s="7"/>
      <c r="I277" s="7"/>
    </row>
    <row r="278" spans="1:9" s="8" customFormat="1" ht="50.25" customHeight="1" x14ac:dyDescent="0.35">
      <c r="A278" s="98"/>
      <c r="B278" s="27">
        <v>13</v>
      </c>
      <c r="C278" s="28" t="s">
        <v>265</v>
      </c>
      <c r="D278" s="29">
        <f t="shared" si="58"/>
        <v>0</v>
      </c>
      <c r="E278" s="6"/>
      <c r="F278" s="6"/>
      <c r="G278" s="40">
        <f t="shared" si="59"/>
        <v>0</v>
      </c>
      <c r="H278" s="7"/>
      <c r="I278" s="7"/>
    </row>
    <row r="279" spans="1:9" s="8" customFormat="1" ht="50.25" customHeight="1" x14ac:dyDescent="0.35">
      <c r="A279" s="98"/>
      <c r="B279" s="27">
        <v>14</v>
      </c>
      <c r="C279" s="28" t="s">
        <v>266</v>
      </c>
      <c r="D279" s="29">
        <f t="shared" si="58"/>
        <v>0</v>
      </c>
      <c r="E279" s="6"/>
      <c r="F279" s="6"/>
      <c r="G279" s="40">
        <f t="shared" si="59"/>
        <v>0</v>
      </c>
      <c r="H279" s="7"/>
      <c r="I279" s="7"/>
    </row>
    <row r="280" spans="1:9" s="8" customFormat="1" ht="50.25" customHeight="1" x14ac:dyDescent="0.35">
      <c r="A280" s="98"/>
      <c r="B280" s="27">
        <v>15</v>
      </c>
      <c r="C280" s="28" t="s">
        <v>149</v>
      </c>
      <c r="D280" s="29">
        <f t="shared" si="58"/>
        <v>0</v>
      </c>
      <c r="E280" s="6"/>
      <c r="F280" s="6"/>
      <c r="G280" s="40">
        <f t="shared" si="59"/>
        <v>0</v>
      </c>
      <c r="H280" s="7"/>
      <c r="I280" s="7"/>
    </row>
    <row r="281" spans="1:9" s="8" customFormat="1" ht="50.25" customHeight="1" x14ac:dyDescent="0.35">
      <c r="A281" s="95" t="s">
        <v>41</v>
      </c>
      <c r="B281" s="27">
        <v>1</v>
      </c>
      <c r="C281" s="28" t="s">
        <v>247</v>
      </c>
      <c r="D281" s="29">
        <f t="shared" ref="D281" si="60">IF(E281="NA","0",E281)</f>
        <v>0</v>
      </c>
      <c r="E281" s="6"/>
      <c r="F281" s="6"/>
      <c r="G281" s="40">
        <f t="shared" ref="G281" si="61">IF(E281="NA","",F281)</f>
        <v>0</v>
      </c>
      <c r="H281" s="7"/>
      <c r="I281" s="7"/>
    </row>
    <row r="282" spans="1:9" s="8" customFormat="1" ht="50.25" customHeight="1" x14ac:dyDescent="0.35">
      <c r="A282" s="96"/>
      <c r="B282" s="27">
        <v>2</v>
      </c>
      <c r="C282" s="28" t="s">
        <v>189</v>
      </c>
      <c r="D282" s="29">
        <f t="shared" si="52"/>
        <v>0</v>
      </c>
      <c r="E282" s="6"/>
      <c r="F282" s="6"/>
      <c r="G282" s="40">
        <f t="shared" si="53"/>
        <v>0</v>
      </c>
      <c r="H282" s="7"/>
      <c r="I282" s="7"/>
    </row>
    <row r="283" spans="1:9" s="8" customFormat="1" ht="50.25" customHeight="1" x14ac:dyDescent="0.35">
      <c r="A283" s="96"/>
      <c r="B283" s="27">
        <v>3</v>
      </c>
      <c r="C283" s="28" t="s">
        <v>541</v>
      </c>
      <c r="D283" s="29">
        <f t="shared" si="52"/>
        <v>0</v>
      </c>
      <c r="E283" s="6"/>
      <c r="F283" s="6"/>
      <c r="G283" s="40">
        <f t="shared" si="53"/>
        <v>0</v>
      </c>
      <c r="H283" s="7"/>
      <c r="I283" s="7"/>
    </row>
    <row r="284" spans="1:9" s="8" customFormat="1" ht="50.25" customHeight="1" x14ac:dyDescent="0.35">
      <c r="A284" s="96"/>
      <c r="B284" s="27">
        <v>4</v>
      </c>
      <c r="C284" s="28" t="s">
        <v>190</v>
      </c>
      <c r="D284" s="29">
        <f t="shared" ref="D284:D296" si="62">IF(E284="NA","0",E284)</f>
        <v>0</v>
      </c>
      <c r="E284" s="6"/>
      <c r="F284" s="6"/>
      <c r="G284" s="40">
        <f t="shared" ref="G284:G296" si="63">IF(E284="NA","",F284)</f>
        <v>0</v>
      </c>
      <c r="H284" s="7"/>
      <c r="I284" s="7"/>
    </row>
    <row r="285" spans="1:9" s="8" customFormat="1" ht="50.25" customHeight="1" x14ac:dyDescent="0.35">
      <c r="A285" s="96"/>
      <c r="B285" s="27">
        <v>5</v>
      </c>
      <c r="C285" s="28" t="s">
        <v>191</v>
      </c>
      <c r="D285" s="29">
        <f t="shared" si="62"/>
        <v>0</v>
      </c>
      <c r="E285" s="6"/>
      <c r="F285" s="6"/>
      <c r="G285" s="40">
        <f t="shared" si="63"/>
        <v>0</v>
      </c>
      <c r="H285" s="7"/>
      <c r="I285" s="7"/>
    </row>
    <row r="286" spans="1:9" s="8" customFormat="1" ht="50.25" customHeight="1" x14ac:dyDescent="0.35">
      <c r="A286" s="96"/>
      <c r="B286" s="27">
        <v>6</v>
      </c>
      <c r="C286" s="28" t="s">
        <v>249</v>
      </c>
      <c r="D286" s="29">
        <f t="shared" si="62"/>
        <v>0</v>
      </c>
      <c r="E286" s="6"/>
      <c r="F286" s="6"/>
      <c r="G286" s="40">
        <f t="shared" si="63"/>
        <v>0</v>
      </c>
      <c r="H286" s="7"/>
      <c r="I286" s="7"/>
    </row>
    <row r="287" spans="1:9" s="8" customFormat="1" ht="50.25" customHeight="1" x14ac:dyDescent="0.35">
      <c r="A287" s="96"/>
      <c r="B287" s="27">
        <v>7</v>
      </c>
      <c r="C287" s="28" t="s">
        <v>192</v>
      </c>
      <c r="D287" s="29">
        <f t="shared" si="62"/>
        <v>0</v>
      </c>
      <c r="E287" s="6"/>
      <c r="F287" s="6"/>
      <c r="G287" s="40">
        <f t="shared" si="63"/>
        <v>0</v>
      </c>
      <c r="H287" s="7"/>
      <c r="I287" s="7"/>
    </row>
    <row r="288" spans="1:9" s="8" customFormat="1" ht="50.25" customHeight="1" x14ac:dyDescent="0.35">
      <c r="A288" s="96"/>
      <c r="B288" s="27">
        <v>8</v>
      </c>
      <c r="C288" s="28" t="s">
        <v>193</v>
      </c>
      <c r="D288" s="29">
        <f t="shared" si="62"/>
        <v>0</v>
      </c>
      <c r="E288" s="6"/>
      <c r="F288" s="6"/>
      <c r="G288" s="40">
        <f t="shared" si="63"/>
        <v>0</v>
      </c>
      <c r="H288" s="7"/>
      <c r="I288" s="7"/>
    </row>
    <row r="289" spans="1:9" s="8" customFormat="1" ht="50.25" customHeight="1" x14ac:dyDescent="0.35">
      <c r="A289" s="96"/>
      <c r="B289" s="27">
        <v>9</v>
      </c>
      <c r="C289" s="28" t="s">
        <v>194</v>
      </c>
      <c r="D289" s="29">
        <f t="shared" si="62"/>
        <v>0</v>
      </c>
      <c r="E289" s="6"/>
      <c r="F289" s="6"/>
      <c r="G289" s="40">
        <f t="shared" si="63"/>
        <v>0</v>
      </c>
      <c r="H289" s="7"/>
      <c r="I289" s="7"/>
    </row>
    <row r="290" spans="1:9" s="8" customFormat="1" ht="50.25" customHeight="1" x14ac:dyDescent="0.35">
      <c r="A290" s="96"/>
      <c r="B290" s="27">
        <v>10</v>
      </c>
      <c r="C290" s="28" t="s">
        <v>195</v>
      </c>
      <c r="D290" s="29">
        <f t="shared" si="62"/>
        <v>0</v>
      </c>
      <c r="E290" s="6"/>
      <c r="F290" s="6"/>
      <c r="G290" s="40">
        <f t="shared" si="63"/>
        <v>0</v>
      </c>
      <c r="H290" s="7"/>
      <c r="I290" s="7"/>
    </row>
    <row r="291" spans="1:9" s="8" customFormat="1" ht="50.25" customHeight="1" x14ac:dyDescent="0.35">
      <c r="A291" s="96"/>
      <c r="B291" s="27">
        <v>11</v>
      </c>
      <c r="C291" s="28" t="s">
        <v>196</v>
      </c>
      <c r="D291" s="29">
        <f t="shared" si="62"/>
        <v>0</v>
      </c>
      <c r="E291" s="6"/>
      <c r="F291" s="6"/>
      <c r="G291" s="40">
        <f t="shared" si="63"/>
        <v>0</v>
      </c>
      <c r="H291" s="7"/>
      <c r="I291" s="7"/>
    </row>
    <row r="292" spans="1:9" s="8" customFormat="1" ht="50.25" customHeight="1" x14ac:dyDescent="0.35">
      <c r="A292" s="96"/>
      <c r="B292" s="27">
        <v>12</v>
      </c>
      <c r="C292" s="28" t="s">
        <v>197</v>
      </c>
      <c r="D292" s="29">
        <f t="shared" si="62"/>
        <v>0</v>
      </c>
      <c r="E292" s="6"/>
      <c r="F292" s="6"/>
      <c r="G292" s="40">
        <f t="shared" si="63"/>
        <v>0</v>
      </c>
      <c r="H292" s="7"/>
      <c r="I292" s="7"/>
    </row>
    <row r="293" spans="1:9" s="8" customFormat="1" ht="50.25" customHeight="1" x14ac:dyDescent="0.35">
      <c r="A293" s="96"/>
      <c r="B293" s="27">
        <v>13</v>
      </c>
      <c r="C293" s="28" t="s">
        <v>198</v>
      </c>
      <c r="D293" s="29">
        <f t="shared" si="62"/>
        <v>0</v>
      </c>
      <c r="E293" s="6"/>
      <c r="F293" s="6"/>
      <c r="G293" s="40">
        <f t="shared" si="63"/>
        <v>0</v>
      </c>
      <c r="H293" s="7"/>
      <c r="I293" s="7"/>
    </row>
    <row r="294" spans="1:9" s="8" customFormat="1" ht="50.25" customHeight="1" x14ac:dyDescent="0.35">
      <c r="A294" s="96"/>
      <c r="B294" s="27">
        <v>14</v>
      </c>
      <c r="C294" s="28" t="s">
        <v>199</v>
      </c>
      <c r="D294" s="29">
        <f t="shared" si="62"/>
        <v>0</v>
      </c>
      <c r="E294" s="6"/>
      <c r="F294" s="6"/>
      <c r="G294" s="40">
        <f t="shared" si="63"/>
        <v>0</v>
      </c>
      <c r="H294" s="7"/>
      <c r="I294" s="7"/>
    </row>
    <row r="295" spans="1:9" s="8" customFormat="1" ht="50.25" customHeight="1" x14ac:dyDescent="0.35">
      <c r="A295" s="96"/>
      <c r="B295" s="27">
        <v>15</v>
      </c>
      <c r="C295" s="28" t="s">
        <v>200</v>
      </c>
      <c r="D295" s="29">
        <f t="shared" si="62"/>
        <v>0</v>
      </c>
      <c r="E295" s="6"/>
      <c r="F295" s="6"/>
      <c r="G295" s="40">
        <f t="shared" si="63"/>
        <v>0</v>
      </c>
      <c r="H295" s="7"/>
      <c r="I295" s="7"/>
    </row>
    <row r="296" spans="1:9" s="8" customFormat="1" ht="50.25" customHeight="1" x14ac:dyDescent="0.35">
      <c r="A296" s="96"/>
      <c r="B296" s="27">
        <v>16</v>
      </c>
      <c r="C296" s="28" t="s">
        <v>76</v>
      </c>
      <c r="D296" s="29">
        <f t="shared" si="62"/>
        <v>0</v>
      </c>
      <c r="E296" s="6"/>
      <c r="F296" s="6"/>
      <c r="G296" s="40">
        <f t="shared" si="63"/>
        <v>0</v>
      </c>
      <c r="H296" s="7"/>
      <c r="I296" s="7"/>
    </row>
    <row r="297" spans="1:9" s="8" customFormat="1" ht="50.25" customHeight="1" x14ac:dyDescent="0.35">
      <c r="A297" s="96"/>
      <c r="B297" s="27">
        <v>17</v>
      </c>
      <c r="C297" s="28" t="s">
        <v>83</v>
      </c>
      <c r="D297" s="29">
        <f t="shared" si="52"/>
        <v>0</v>
      </c>
      <c r="E297" s="6"/>
      <c r="F297" s="6"/>
      <c r="G297" s="40">
        <f t="shared" si="53"/>
        <v>0</v>
      </c>
      <c r="H297" s="7"/>
      <c r="I297" s="7"/>
    </row>
    <row r="298" spans="1:9" s="8" customFormat="1" ht="50.25" customHeight="1" x14ac:dyDescent="0.35">
      <c r="A298" s="96"/>
      <c r="B298" s="27">
        <v>18</v>
      </c>
      <c r="C298" s="28" t="s">
        <v>77</v>
      </c>
      <c r="D298" s="29">
        <f t="shared" si="52"/>
        <v>0</v>
      </c>
      <c r="E298" s="6"/>
      <c r="F298" s="6"/>
      <c r="G298" s="40">
        <f t="shared" si="53"/>
        <v>0</v>
      </c>
      <c r="H298" s="7"/>
      <c r="I298" s="7"/>
    </row>
    <row r="299" spans="1:9" s="8" customFormat="1" ht="50.25" customHeight="1" x14ac:dyDescent="0.35">
      <c r="A299" s="96"/>
      <c r="B299" s="27">
        <v>19</v>
      </c>
      <c r="C299" s="28" t="s">
        <v>82</v>
      </c>
      <c r="D299" s="29">
        <f t="shared" si="52"/>
        <v>0</v>
      </c>
      <c r="E299" s="6"/>
      <c r="F299" s="6"/>
      <c r="G299" s="40">
        <f t="shared" si="53"/>
        <v>0</v>
      </c>
      <c r="H299" s="7"/>
      <c r="I299" s="7"/>
    </row>
    <row r="300" spans="1:9" s="8" customFormat="1" ht="50.25" customHeight="1" x14ac:dyDescent="0.35">
      <c r="A300" s="96"/>
      <c r="B300" s="27">
        <v>20</v>
      </c>
      <c r="C300" s="28" t="s">
        <v>139</v>
      </c>
      <c r="D300" s="29">
        <f t="shared" si="52"/>
        <v>0</v>
      </c>
      <c r="E300" s="6"/>
      <c r="F300" s="6"/>
      <c r="G300" s="40">
        <f t="shared" si="53"/>
        <v>0</v>
      </c>
      <c r="H300" s="7"/>
      <c r="I300" s="7"/>
    </row>
    <row r="301" spans="1:9" s="8" customFormat="1" ht="58" x14ac:dyDescent="0.35">
      <c r="A301" s="96"/>
      <c r="B301" s="27">
        <v>21</v>
      </c>
      <c r="C301" s="28" t="s">
        <v>544</v>
      </c>
      <c r="D301" s="29">
        <f t="shared" si="52"/>
        <v>0</v>
      </c>
      <c r="E301" s="6"/>
      <c r="F301" s="6"/>
      <c r="G301" s="40">
        <f t="shared" si="53"/>
        <v>0</v>
      </c>
      <c r="H301" s="7"/>
      <c r="I301" s="7"/>
    </row>
    <row r="302" spans="1:9" s="8" customFormat="1" ht="29" x14ac:dyDescent="0.35">
      <c r="A302" s="96"/>
      <c r="B302" s="27">
        <v>22</v>
      </c>
      <c r="C302" s="28" t="s">
        <v>542</v>
      </c>
      <c r="D302" s="29">
        <f t="shared" si="52"/>
        <v>0</v>
      </c>
      <c r="E302" s="6"/>
      <c r="F302" s="6"/>
      <c r="G302" s="40">
        <f t="shared" si="53"/>
        <v>0</v>
      </c>
      <c r="H302" s="7"/>
      <c r="I302" s="7"/>
    </row>
    <row r="303" spans="1:9" s="8" customFormat="1" ht="50.25" customHeight="1" x14ac:dyDescent="0.35">
      <c r="A303" s="96"/>
      <c r="B303" s="27">
        <v>23</v>
      </c>
      <c r="C303" s="28" t="s">
        <v>71</v>
      </c>
      <c r="D303" s="29">
        <f t="shared" si="52"/>
        <v>0</v>
      </c>
      <c r="E303" s="6"/>
      <c r="F303" s="6"/>
      <c r="G303" s="40">
        <f t="shared" si="53"/>
        <v>0</v>
      </c>
      <c r="H303" s="7"/>
      <c r="I303" s="7"/>
    </row>
    <row r="304" spans="1:9" s="8" customFormat="1" ht="50.25" customHeight="1" x14ac:dyDescent="0.35">
      <c r="A304" s="96"/>
      <c r="B304" s="27">
        <v>24</v>
      </c>
      <c r="C304" s="28" t="s">
        <v>251</v>
      </c>
      <c r="D304" s="29">
        <f t="shared" si="52"/>
        <v>0</v>
      </c>
      <c r="E304" s="6"/>
      <c r="F304" s="6"/>
      <c r="G304" s="40">
        <f t="shared" si="53"/>
        <v>0</v>
      </c>
      <c r="H304" s="7"/>
      <c r="I304" s="7"/>
    </row>
    <row r="305" spans="1:9" s="8" customFormat="1" ht="101.5" x14ac:dyDescent="0.35">
      <c r="A305" s="96"/>
      <c r="B305" s="27">
        <v>25</v>
      </c>
      <c r="C305" s="28" t="s">
        <v>543</v>
      </c>
      <c r="D305" s="29">
        <f t="shared" ref="D305:D330" si="64">IF(E305="NA","0",E305)</f>
        <v>0</v>
      </c>
      <c r="E305" s="6"/>
      <c r="F305" s="6"/>
      <c r="G305" s="40">
        <f t="shared" ref="G305:G330" si="65">IF(E305="NA","",F305)</f>
        <v>0</v>
      </c>
      <c r="H305" s="7"/>
      <c r="I305" s="7"/>
    </row>
    <row r="306" spans="1:9" ht="45" customHeight="1" x14ac:dyDescent="0.35">
      <c r="A306" s="96"/>
      <c r="B306" s="27">
        <v>26</v>
      </c>
      <c r="C306" s="30" t="s">
        <v>545</v>
      </c>
      <c r="D306" s="29">
        <f t="shared" si="64"/>
        <v>0</v>
      </c>
      <c r="E306" s="6"/>
      <c r="F306" s="6"/>
      <c r="G306" s="40">
        <f t="shared" si="65"/>
        <v>0</v>
      </c>
      <c r="H306" s="7"/>
      <c r="I306" s="7"/>
    </row>
    <row r="307" spans="1:9" ht="45" customHeight="1" x14ac:dyDescent="0.35">
      <c r="A307" s="96"/>
      <c r="B307" s="27">
        <v>27</v>
      </c>
      <c r="C307" s="30" t="s">
        <v>219</v>
      </c>
      <c r="D307" s="29">
        <f t="shared" si="64"/>
        <v>0</v>
      </c>
      <c r="E307" s="6"/>
      <c r="F307" s="6"/>
      <c r="G307" s="40">
        <f t="shared" si="65"/>
        <v>0</v>
      </c>
      <c r="H307" s="7"/>
      <c r="I307" s="7"/>
    </row>
    <row r="308" spans="1:9" ht="45" customHeight="1" x14ac:dyDescent="0.35">
      <c r="A308" s="96"/>
      <c r="B308" s="27">
        <v>28</v>
      </c>
      <c r="C308" s="30" t="s">
        <v>252</v>
      </c>
      <c r="D308" s="29">
        <f t="shared" si="64"/>
        <v>0</v>
      </c>
      <c r="E308" s="6"/>
      <c r="F308" s="6"/>
      <c r="G308" s="40">
        <f t="shared" si="65"/>
        <v>0</v>
      </c>
      <c r="H308" s="7"/>
      <c r="I308" s="7"/>
    </row>
    <row r="309" spans="1:9" s="8" customFormat="1" ht="50.25" customHeight="1" x14ac:dyDescent="0.35">
      <c r="A309" s="96"/>
      <c r="B309" s="27">
        <v>29</v>
      </c>
      <c r="C309" s="30" t="s">
        <v>220</v>
      </c>
      <c r="D309" s="29">
        <f t="shared" si="64"/>
        <v>0</v>
      </c>
      <c r="E309" s="6"/>
      <c r="F309" s="6"/>
      <c r="G309" s="40">
        <f t="shared" si="65"/>
        <v>0</v>
      </c>
      <c r="H309" s="7"/>
      <c r="I309" s="7"/>
    </row>
    <row r="310" spans="1:9" s="8" customFormat="1" ht="50.25" customHeight="1" x14ac:dyDescent="0.35">
      <c r="A310" s="96"/>
      <c r="B310" s="27">
        <v>30</v>
      </c>
      <c r="C310" s="28" t="s">
        <v>44</v>
      </c>
      <c r="D310" s="29">
        <f t="shared" si="64"/>
        <v>0</v>
      </c>
      <c r="E310" s="6"/>
      <c r="F310" s="6"/>
      <c r="G310" s="40">
        <f t="shared" si="65"/>
        <v>0</v>
      </c>
      <c r="H310" s="7"/>
      <c r="I310" s="7"/>
    </row>
    <row r="311" spans="1:9" s="8" customFormat="1" ht="50.25" customHeight="1" x14ac:dyDescent="0.35">
      <c r="A311" s="96"/>
      <c r="B311" s="27">
        <v>31</v>
      </c>
      <c r="C311" s="28" t="s">
        <v>102</v>
      </c>
      <c r="D311" s="29">
        <f t="shared" si="64"/>
        <v>0</v>
      </c>
      <c r="E311" s="6"/>
      <c r="F311" s="6"/>
      <c r="G311" s="40">
        <f t="shared" si="65"/>
        <v>0</v>
      </c>
      <c r="H311" s="7"/>
      <c r="I311" s="7"/>
    </row>
    <row r="312" spans="1:9" s="8" customFormat="1" ht="65.25" customHeight="1" x14ac:dyDescent="0.35">
      <c r="A312" s="96"/>
      <c r="B312" s="27">
        <v>32</v>
      </c>
      <c r="C312" s="28" t="s">
        <v>253</v>
      </c>
      <c r="D312" s="29">
        <f t="shared" si="64"/>
        <v>0</v>
      </c>
      <c r="E312" s="6"/>
      <c r="F312" s="6"/>
      <c r="G312" s="40">
        <f t="shared" si="65"/>
        <v>0</v>
      </c>
      <c r="H312" s="7"/>
      <c r="I312" s="7"/>
    </row>
    <row r="313" spans="1:9" s="8" customFormat="1" ht="47.25" customHeight="1" x14ac:dyDescent="0.35">
      <c r="A313" s="96"/>
      <c r="B313" s="27">
        <v>33</v>
      </c>
      <c r="C313" s="28" t="s">
        <v>42</v>
      </c>
      <c r="D313" s="29">
        <f t="shared" si="64"/>
        <v>0</v>
      </c>
      <c r="E313" s="6"/>
      <c r="F313" s="6"/>
      <c r="G313" s="40">
        <f t="shared" si="65"/>
        <v>0</v>
      </c>
      <c r="H313" s="7"/>
      <c r="I313" s="7"/>
    </row>
    <row r="314" spans="1:9" s="8" customFormat="1" ht="47.25" customHeight="1" x14ac:dyDescent="0.35">
      <c r="A314" s="96"/>
      <c r="B314" s="27">
        <v>34</v>
      </c>
      <c r="C314" s="28" t="s">
        <v>254</v>
      </c>
      <c r="D314" s="29">
        <f t="shared" si="64"/>
        <v>0</v>
      </c>
      <c r="E314" s="6"/>
      <c r="F314" s="6"/>
      <c r="G314" s="40">
        <f t="shared" si="65"/>
        <v>0</v>
      </c>
      <c r="H314" s="7"/>
      <c r="I314" s="7"/>
    </row>
    <row r="315" spans="1:9" s="8" customFormat="1" ht="47.25" customHeight="1" x14ac:dyDescent="0.35">
      <c r="A315" s="96"/>
      <c r="B315" s="27">
        <v>35</v>
      </c>
      <c r="C315" s="28" t="s">
        <v>56</v>
      </c>
      <c r="D315" s="29">
        <f t="shared" si="64"/>
        <v>0</v>
      </c>
      <c r="E315" s="6"/>
      <c r="F315" s="6"/>
      <c r="G315" s="40">
        <f t="shared" si="65"/>
        <v>0</v>
      </c>
      <c r="H315" s="7"/>
      <c r="I315" s="7"/>
    </row>
    <row r="316" spans="1:9" s="8" customFormat="1" ht="47.25" customHeight="1" x14ac:dyDescent="0.35">
      <c r="A316" s="96"/>
      <c r="B316" s="27">
        <v>36</v>
      </c>
      <c r="C316" s="28" t="s">
        <v>73</v>
      </c>
      <c r="D316" s="29">
        <f t="shared" si="64"/>
        <v>0</v>
      </c>
      <c r="E316" s="6"/>
      <c r="F316" s="6"/>
      <c r="G316" s="40">
        <f t="shared" si="65"/>
        <v>0</v>
      </c>
      <c r="H316" s="7"/>
      <c r="I316" s="7"/>
    </row>
    <row r="317" spans="1:9" s="8" customFormat="1" ht="47.25" customHeight="1" x14ac:dyDescent="0.35">
      <c r="A317" s="96"/>
      <c r="B317" s="27">
        <v>37</v>
      </c>
      <c r="C317" s="28" t="s">
        <v>57</v>
      </c>
      <c r="D317" s="29">
        <f t="shared" si="64"/>
        <v>0</v>
      </c>
      <c r="E317" s="6"/>
      <c r="F317" s="6"/>
      <c r="G317" s="40">
        <f t="shared" si="65"/>
        <v>0</v>
      </c>
      <c r="H317" s="7"/>
      <c r="I317" s="7"/>
    </row>
    <row r="318" spans="1:9" ht="47.25" customHeight="1" x14ac:dyDescent="0.35">
      <c r="A318" s="96"/>
      <c r="B318" s="27">
        <v>38</v>
      </c>
      <c r="C318" s="28" t="s">
        <v>148</v>
      </c>
      <c r="D318" s="29">
        <f t="shared" si="64"/>
        <v>0</v>
      </c>
      <c r="E318" s="6"/>
      <c r="F318" s="6"/>
      <c r="G318" s="40">
        <f t="shared" si="65"/>
        <v>0</v>
      </c>
      <c r="H318" s="7"/>
      <c r="I318" s="7"/>
    </row>
    <row r="319" spans="1:9" ht="42" customHeight="1" x14ac:dyDescent="0.35">
      <c r="A319" s="96"/>
      <c r="B319" s="27">
        <v>39</v>
      </c>
      <c r="C319" s="30" t="s">
        <v>99</v>
      </c>
      <c r="D319" s="29">
        <f t="shared" si="64"/>
        <v>0</v>
      </c>
      <c r="E319" s="6"/>
      <c r="F319" s="6"/>
      <c r="G319" s="40">
        <f t="shared" si="65"/>
        <v>0</v>
      </c>
      <c r="H319" s="7"/>
      <c r="I319" s="7"/>
    </row>
    <row r="320" spans="1:9" ht="45" customHeight="1" x14ac:dyDescent="0.35">
      <c r="A320" s="96"/>
      <c r="B320" s="27">
        <v>40</v>
      </c>
      <c r="C320" s="30" t="s">
        <v>100</v>
      </c>
      <c r="D320" s="29">
        <f t="shared" si="64"/>
        <v>0</v>
      </c>
      <c r="E320" s="6"/>
      <c r="F320" s="6"/>
      <c r="G320" s="40">
        <f t="shared" si="65"/>
        <v>0</v>
      </c>
      <c r="H320" s="7"/>
      <c r="I320" s="7"/>
    </row>
    <row r="321" spans="1:9" ht="45" customHeight="1" x14ac:dyDescent="0.35">
      <c r="A321" s="96"/>
      <c r="B321" s="27">
        <v>41</v>
      </c>
      <c r="C321" s="30" t="s">
        <v>218</v>
      </c>
      <c r="D321" s="29">
        <f t="shared" si="64"/>
        <v>0</v>
      </c>
      <c r="E321" s="6"/>
      <c r="F321" s="6"/>
      <c r="G321" s="40">
        <f t="shared" si="65"/>
        <v>0</v>
      </c>
      <c r="H321" s="7"/>
      <c r="I321" s="7"/>
    </row>
    <row r="322" spans="1:9" ht="45" customHeight="1" x14ac:dyDescent="0.35">
      <c r="A322" s="96"/>
      <c r="B322" s="27">
        <v>42</v>
      </c>
      <c r="C322" s="30" t="s">
        <v>101</v>
      </c>
      <c r="D322" s="29">
        <f t="shared" si="64"/>
        <v>0</v>
      </c>
      <c r="E322" s="6"/>
      <c r="F322" s="6"/>
      <c r="G322" s="40">
        <f t="shared" si="65"/>
        <v>0</v>
      </c>
      <c r="H322" s="7"/>
      <c r="I322" s="7"/>
    </row>
    <row r="323" spans="1:9" ht="45" customHeight="1" x14ac:dyDescent="0.35">
      <c r="A323" s="96"/>
      <c r="B323" s="27">
        <v>43</v>
      </c>
      <c r="C323" s="30" t="s">
        <v>80</v>
      </c>
      <c r="D323" s="29">
        <f t="shared" si="64"/>
        <v>0</v>
      </c>
      <c r="E323" s="6"/>
      <c r="F323" s="6"/>
      <c r="G323" s="40">
        <f t="shared" si="65"/>
        <v>0</v>
      </c>
      <c r="H323" s="7"/>
      <c r="I323" s="7"/>
    </row>
    <row r="324" spans="1:9" ht="45" customHeight="1" x14ac:dyDescent="0.35">
      <c r="A324" s="96"/>
      <c r="B324" s="27">
        <v>44</v>
      </c>
      <c r="C324" s="30" t="s">
        <v>81</v>
      </c>
      <c r="D324" s="29">
        <f t="shared" si="64"/>
        <v>0</v>
      </c>
      <c r="E324" s="6"/>
      <c r="F324" s="6"/>
      <c r="G324" s="40">
        <f t="shared" si="65"/>
        <v>0</v>
      </c>
      <c r="H324" s="7"/>
      <c r="I324" s="7"/>
    </row>
    <row r="325" spans="1:9" ht="45" customHeight="1" x14ac:dyDescent="0.35">
      <c r="A325" s="96"/>
      <c r="B325" s="27">
        <v>45</v>
      </c>
      <c r="C325" s="28" t="s">
        <v>85</v>
      </c>
      <c r="D325" s="29">
        <f t="shared" si="64"/>
        <v>0</v>
      </c>
      <c r="E325" s="6"/>
      <c r="F325" s="6"/>
      <c r="G325" s="40">
        <f t="shared" si="65"/>
        <v>0</v>
      </c>
      <c r="H325" s="7"/>
      <c r="I325" s="7"/>
    </row>
    <row r="326" spans="1:9" ht="45" customHeight="1" x14ac:dyDescent="0.35">
      <c r="A326" s="96"/>
      <c r="B326" s="27">
        <v>46</v>
      </c>
      <c r="C326" s="28" t="s">
        <v>255</v>
      </c>
      <c r="D326" s="29">
        <f t="shared" si="64"/>
        <v>0</v>
      </c>
      <c r="E326" s="6"/>
      <c r="F326" s="6"/>
      <c r="G326" s="40">
        <f t="shared" si="65"/>
        <v>0</v>
      </c>
      <c r="H326" s="7"/>
      <c r="I326" s="7"/>
    </row>
    <row r="327" spans="1:9" ht="45" customHeight="1" x14ac:dyDescent="0.35">
      <c r="A327" s="96"/>
      <c r="B327" s="27">
        <v>47</v>
      </c>
      <c r="C327" s="28" t="s">
        <v>55</v>
      </c>
      <c r="D327" s="29">
        <f t="shared" si="64"/>
        <v>0</v>
      </c>
      <c r="E327" s="6"/>
      <c r="F327" s="6"/>
      <c r="G327" s="40">
        <f t="shared" si="65"/>
        <v>0</v>
      </c>
      <c r="H327" s="7"/>
      <c r="I327" s="7"/>
    </row>
    <row r="328" spans="1:9" ht="45" customHeight="1" x14ac:dyDescent="0.35">
      <c r="A328" s="96"/>
      <c r="B328" s="27">
        <v>48</v>
      </c>
      <c r="C328" s="28" t="s">
        <v>49</v>
      </c>
      <c r="D328" s="29">
        <f t="shared" si="64"/>
        <v>0</v>
      </c>
      <c r="E328" s="6"/>
      <c r="F328" s="6"/>
      <c r="G328" s="40">
        <f t="shared" si="65"/>
        <v>0</v>
      </c>
      <c r="H328" s="7"/>
      <c r="I328" s="7"/>
    </row>
    <row r="329" spans="1:9" ht="45" customHeight="1" x14ac:dyDescent="0.35">
      <c r="A329" s="96"/>
      <c r="B329" s="27">
        <v>49</v>
      </c>
      <c r="C329" s="28" t="s">
        <v>256</v>
      </c>
      <c r="D329" s="29">
        <f t="shared" si="64"/>
        <v>0</v>
      </c>
      <c r="E329" s="6"/>
      <c r="F329" s="6"/>
      <c r="G329" s="40">
        <f t="shared" si="65"/>
        <v>0</v>
      </c>
      <c r="H329" s="7"/>
      <c r="I329" s="7"/>
    </row>
    <row r="330" spans="1:9" ht="45" customHeight="1" thickBot="1" x14ac:dyDescent="0.4">
      <c r="A330" s="96"/>
      <c r="B330" s="35">
        <v>50</v>
      </c>
      <c r="C330" s="36" t="s">
        <v>75</v>
      </c>
      <c r="D330" s="37">
        <f t="shared" si="64"/>
        <v>0</v>
      </c>
      <c r="E330" s="11"/>
      <c r="F330" s="11"/>
      <c r="G330" s="42">
        <f t="shared" si="65"/>
        <v>0</v>
      </c>
      <c r="H330" s="12"/>
      <c r="I330" s="12"/>
    </row>
    <row r="331" spans="1:9" s="24" customFormat="1" ht="45" customHeight="1" thickBot="1" x14ac:dyDescent="0.4">
      <c r="A331" s="109" t="s">
        <v>207</v>
      </c>
      <c r="B331" s="110"/>
      <c r="C331" s="110"/>
      <c r="D331" s="38">
        <f>SUM(D6:D330)</f>
        <v>0</v>
      </c>
      <c r="E331" s="109" t="s">
        <v>208</v>
      </c>
      <c r="F331" s="110"/>
      <c r="G331" s="38">
        <f>SUM(G6:G330)</f>
        <v>0</v>
      </c>
      <c r="H331" s="50" t="s">
        <v>529</v>
      </c>
      <c r="I331" s="39" t="e">
        <f>G331/D331</f>
        <v>#DIV/0!</v>
      </c>
    </row>
    <row r="332" spans="1:9" s="24" customFormat="1" ht="45" customHeight="1" thickBot="1" x14ac:dyDescent="0.4">
      <c r="A332" s="111" t="s">
        <v>209</v>
      </c>
      <c r="B332" s="111"/>
      <c r="C332" s="111"/>
      <c r="D332" s="111"/>
      <c r="E332" s="111"/>
      <c r="F332" s="111"/>
      <c r="G332" s="111"/>
      <c r="H332" s="111"/>
      <c r="I332" s="112"/>
    </row>
    <row r="333" spans="1:9" s="24" customFormat="1" ht="45" customHeight="1" thickBot="1" x14ac:dyDescent="0.4">
      <c r="A333" s="51" t="s">
        <v>3</v>
      </c>
      <c r="B333" s="113" t="s">
        <v>210</v>
      </c>
      <c r="C333" s="113"/>
      <c r="D333" s="113"/>
      <c r="E333" s="113"/>
      <c r="F333" s="113"/>
      <c r="G333" s="113"/>
      <c r="H333" s="113" t="s">
        <v>211</v>
      </c>
      <c r="I333" s="114"/>
    </row>
    <row r="334" spans="1:9" ht="48" customHeight="1" x14ac:dyDescent="0.35">
      <c r="A334" s="54">
        <v>1</v>
      </c>
      <c r="B334" s="116"/>
      <c r="C334" s="116"/>
      <c r="D334" s="116"/>
      <c r="E334" s="116"/>
      <c r="F334" s="116"/>
      <c r="G334" s="116"/>
      <c r="H334" s="116"/>
      <c r="I334" s="116"/>
    </row>
    <row r="335" spans="1:9" ht="48" customHeight="1" x14ac:dyDescent="0.35">
      <c r="A335" s="43">
        <v>2</v>
      </c>
      <c r="B335" s="115"/>
      <c r="C335" s="115"/>
      <c r="D335" s="115"/>
      <c r="E335" s="115"/>
      <c r="F335" s="115"/>
      <c r="G335" s="115"/>
      <c r="H335" s="115"/>
      <c r="I335" s="115"/>
    </row>
    <row r="336" spans="1:9" ht="48" customHeight="1" x14ac:dyDescent="0.35">
      <c r="A336" s="43">
        <v>3</v>
      </c>
      <c r="B336" s="115"/>
      <c r="C336" s="115"/>
      <c r="D336" s="115"/>
      <c r="E336" s="115"/>
      <c r="F336" s="115"/>
      <c r="G336" s="115"/>
      <c r="H336" s="115"/>
      <c r="I336" s="115"/>
    </row>
    <row r="337" spans="1:9" ht="48" customHeight="1" x14ac:dyDescent="0.35">
      <c r="A337" s="43">
        <v>4</v>
      </c>
      <c r="B337" s="115"/>
      <c r="C337" s="115"/>
      <c r="D337" s="115"/>
      <c r="E337" s="115"/>
      <c r="F337" s="115"/>
      <c r="G337" s="115"/>
      <c r="H337" s="115"/>
      <c r="I337" s="115"/>
    </row>
    <row r="338" spans="1:9" ht="48" customHeight="1" x14ac:dyDescent="0.35">
      <c r="A338" s="43">
        <v>5</v>
      </c>
      <c r="B338" s="115"/>
      <c r="C338" s="115"/>
      <c r="D338" s="115"/>
      <c r="E338" s="115"/>
      <c r="F338" s="115"/>
      <c r="G338" s="115"/>
      <c r="H338" s="115"/>
      <c r="I338" s="115"/>
    </row>
    <row r="339" spans="1:9" ht="48" customHeight="1" x14ac:dyDescent="0.35">
      <c r="A339" s="43">
        <v>6</v>
      </c>
      <c r="B339" s="115"/>
      <c r="C339" s="115"/>
      <c r="D339" s="115"/>
      <c r="E339" s="115"/>
      <c r="F339" s="115"/>
      <c r="G339" s="115"/>
      <c r="H339" s="115"/>
      <c r="I339" s="115"/>
    </row>
    <row r="340" spans="1:9" ht="48" customHeight="1" x14ac:dyDescent="0.35">
      <c r="A340" s="43">
        <v>7</v>
      </c>
      <c r="B340" s="115"/>
      <c r="C340" s="115"/>
      <c r="D340" s="115"/>
      <c r="E340" s="115"/>
      <c r="F340" s="115"/>
      <c r="G340" s="115"/>
      <c r="H340" s="115"/>
      <c r="I340" s="115"/>
    </row>
    <row r="341" spans="1:9" ht="48" customHeight="1" x14ac:dyDescent="0.35">
      <c r="A341" s="43">
        <v>8</v>
      </c>
      <c r="B341" s="115"/>
      <c r="C341" s="115"/>
      <c r="D341" s="115"/>
      <c r="E341" s="115"/>
      <c r="F341" s="115"/>
      <c r="G341" s="115"/>
      <c r="H341" s="115"/>
      <c r="I341" s="115"/>
    </row>
    <row r="342" spans="1:9" ht="48" customHeight="1" x14ac:dyDescent="0.35">
      <c r="A342" s="43">
        <v>9</v>
      </c>
      <c r="B342" s="115"/>
      <c r="C342" s="115"/>
      <c r="D342" s="115"/>
      <c r="E342" s="115"/>
      <c r="F342" s="115"/>
      <c r="G342" s="115"/>
      <c r="H342" s="115"/>
      <c r="I342" s="115"/>
    </row>
    <row r="343" spans="1:9" ht="48" customHeight="1" x14ac:dyDescent="0.35">
      <c r="A343" s="43">
        <v>10</v>
      </c>
      <c r="B343" s="115"/>
      <c r="C343" s="115"/>
      <c r="D343" s="115"/>
      <c r="E343" s="115"/>
      <c r="F343" s="115"/>
      <c r="G343" s="115"/>
      <c r="H343" s="115"/>
      <c r="I343" s="115"/>
    </row>
    <row r="344" spans="1:9" ht="48" customHeight="1" x14ac:dyDescent="0.35">
      <c r="A344" s="43">
        <v>11</v>
      </c>
      <c r="B344" s="115"/>
      <c r="C344" s="115"/>
      <c r="D344" s="115"/>
      <c r="E344" s="115"/>
      <c r="F344" s="115"/>
      <c r="G344" s="115"/>
      <c r="H344" s="115"/>
      <c r="I344" s="115"/>
    </row>
    <row r="345" spans="1:9" ht="48" customHeight="1" x14ac:dyDescent="0.35">
      <c r="A345" s="43">
        <v>12</v>
      </c>
      <c r="B345" s="115"/>
      <c r="C345" s="115"/>
      <c r="D345" s="115"/>
      <c r="E345" s="115"/>
      <c r="F345" s="115"/>
      <c r="G345" s="115"/>
      <c r="H345" s="115"/>
      <c r="I345" s="115"/>
    </row>
    <row r="346" spans="1:9" ht="48" customHeight="1" x14ac:dyDescent="0.35">
      <c r="A346" s="43">
        <v>13</v>
      </c>
      <c r="B346" s="115"/>
      <c r="C346" s="115"/>
      <c r="D346" s="115"/>
      <c r="E346" s="115"/>
      <c r="F346" s="115"/>
      <c r="G346" s="115"/>
      <c r="H346" s="115"/>
      <c r="I346" s="115"/>
    </row>
    <row r="347" spans="1:9" ht="48" customHeight="1" x14ac:dyDescent="0.35">
      <c r="A347" s="43">
        <v>14</v>
      </c>
      <c r="B347" s="115"/>
      <c r="C347" s="115"/>
      <c r="D347" s="115"/>
      <c r="E347" s="115"/>
      <c r="F347" s="115"/>
      <c r="G347" s="115"/>
      <c r="H347" s="115"/>
      <c r="I347" s="115"/>
    </row>
    <row r="348" spans="1:9" ht="48" customHeight="1" x14ac:dyDescent="0.35">
      <c r="A348" s="43">
        <v>15</v>
      </c>
      <c r="B348" s="115"/>
      <c r="C348" s="115"/>
      <c r="D348" s="115"/>
      <c r="E348" s="115"/>
      <c r="F348" s="115"/>
      <c r="G348" s="115"/>
      <c r="H348" s="115"/>
      <c r="I348" s="115"/>
    </row>
    <row r="349" spans="1:9" ht="48" customHeight="1" x14ac:dyDescent="0.35">
      <c r="A349" s="43">
        <v>16</v>
      </c>
      <c r="B349" s="115"/>
      <c r="C349" s="115"/>
      <c r="D349" s="115"/>
      <c r="E349" s="115"/>
      <c r="F349" s="115"/>
      <c r="G349" s="115"/>
      <c r="H349" s="115"/>
      <c r="I349" s="115"/>
    </row>
    <row r="350" spans="1:9" ht="48" customHeight="1" x14ac:dyDescent="0.35">
      <c r="A350" s="43">
        <v>17</v>
      </c>
      <c r="B350" s="115"/>
      <c r="C350" s="115"/>
      <c r="D350" s="115"/>
      <c r="E350" s="115"/>
      <c r="F350" s="115"/>
      <c r="G350" s="115"/>
      <c r="H350" s="115"/>
      <c r="I350" s="115"/>
    </row>
    <row r="351" spans="1:9" ht="48" customHeight="1" x14ac:dyDescent="0.35">
      <c r="A351" s="43">
        <v>18</v>
      </c>
      <c r="B351" s="115"/>
      <c r="C351" s="115"/>
      <c r="D351" s="115"/>
      <c r="E351" s="115"/>
      <c r="F351" s="115"/>
      <c r="G351" s="115"/>
      <c r="H351" s="115"/>
      <c r="I351" s="115"/>
    </row>
    <row r="352" spans="1:9" ht="48" customHeight="1" x14ac:dyDescent="0.35">
      <c r="A352" s="43">
        <v>19</v>
      </c>
      <c r="B352" s="115"/>
      <c r="C352" s="115"/>
      <c r="D352" s="115"/>
      <c r="E352" s="115"/>
      <c r="F352" s="115"/>
      <c r="G352" s="115"/>
      <c r="H352" s="115"/>
      <c r="I352" s="115"/>
    </row>
    <row r="353" spans="1:9" ht="48" customHeight="1" thickBot="1" x14ac:dyDescent="0.4">
      <c r="A353" s="44">
        <v>20</v>
      </c>
      <c r="B353" s="123"/>
      <c r="C353" s="123"/>
      <c r="D353" s="123"/>
      <c r="E353" s="123"/>
      <c r="F353" s="123"/>
      <c r="G353" s="123"/>
      <c r="H353" s="123"/>
      <c r="I353" s="123"/>
    </row>
    <row r="354" spans="1:9" s="24" customFormat="1" ht="58.5" thickBot="1" x14ac:dyDescent="0.4">
      <c r="A354" s="52" t="s">
        <v>52</v>
      </c>
      <c r="B354" s="117" t="s">
        <v>51</v>
      </c>
      <c r="C354" s="118"/>
      <c r="D354" s="118"/>
      <c r="E354" s="118"/>
      <c r="F354" s="118"/>
      <c r="G354" s="119"/>
      <c r="H354" s="117" t="s">
        <v>53</v>
      </c>
      <c r="I354" s="120"/>
    </row>
    <row r="355" spans="1:9" x14ac:dyDescent="0.35">
      <c r="A355" s="5"/>
    </row>
    <row r="356" spans="1:9" x14ac:dyDescent="0.35">
      <c r="A356" s="5"/>
    </row>
    <row r="357" spans="1:9" x14ac:dyDescent="0.35">
      <c r="A357" s="5"/>
    </row>
    <row r="358" spans="1:9" x14ac:dyDescent="0.35">
      <c r="A358" s="5"/>
    </row>
    <row r="359" spans="1:9" x14ac:dyDescent="0.35">
      <c r="A359" s="5"/>
    </row>
    <row r="360" spans="1:9" x14ac:dyDescent="0.35">
      <c r="A360" s="5"/>
    </row>
    <row r="361" spans="1:9" x14ac:dyDescent="0.35">
      <c r="A361" s="5"/>
    </row>
    <row r="362" spans="1:9" x14ac:dyDescent="0.35">
      <c r="A362" s="5"/>
    </row>
    <row r="363" spans="1:9" x14ac:dyDescent="0.35">
      <c r="A363" s="5"/>
    </row>
    <row r="364" spans="1:9" x14ac:dyDescent="0.35">
      <c r="A364" s="5"/>
    </row>
    <row r="365" spans="1:9" x14ac:dyDescent="0.35">
      <c r="A365" s="5"/>
    </row>
    <row r="366" spans="1:9" x14ac:dyDescent="0.35">
      <c r="A366" s="5"/>
    </row>
    <row r="367" spans="1:9" x14ac:dyDescent="0.35">
      <c r="A367" s="5"/>
    </row>
    <row r="368" spans="1:9" x14ac:dyDescent="0.35">
      <c r="A368" s="5"/>
    </row>
    <row r="369" spans="1:1" x14ac:dyDescent="0.35">
      <c r="A369" s="5"/>
    </row>
    <row r="370" spans="1:1" x14ac:dyDescent="0.35">
      <c r="A370" s="5"/>
    </row>
    <row r="371" spans="1:1" x14ac:dyDescent="0.35">
      <c r="A371" s="5"/>
    </row>
    <row r="372" spans="1:1" x14ac:dyDescent="0.35">
      <c r="A372" s="5"/>
    </row>
    <row r="373" spans="1:1" x14ac:dyDescent="0.35">
      <c r="A373" s="5"/>
    </row>
    <row r="374" spans="1:1" x14ac:dyDescent="0.35">
      <c r="A374" s="5"/>
    </row>
    <row r="375" spans="1:1" x14ac:dyDescent="0.35">
      <c r="A375" s="5"/>
    </row>
    <row r="376" spans="1:1" x14ac:dyDescent="0.35">
      <c r="A376" s="5"/>
    </row>
    <row r="377" spans="1:1" x14ac:dyDescent="0.35">
      <c r="A377" s="5"/>
    </row>
    <row r="378" spans="1:1" x14ac:dyDescent="0.35">
      <c r="A378" s="5"/>
    </row>
    <row r="379" spans="1:1" x14ac:dyDescent="0.35">
      <c r="A379" s="5"/>
    </row>
    <row r="380" spans="1:1" x14ac:dyDescent="0.35">
      <c r="A380" s="5"/>
    </row>
    <row r="381" spans="1:1" x14ac:dyDescent="0.35">
      <c r="A381" s="5"/>
    </row>
    <row r="382" spans="1:1" x14ac:dyDescent="0.35">
      <c r="A382" s="5"/>
    </row>
    <row r="383" spans="1:1" x14ac:dyDescent="0.35">
      <c r="A383" s="5"/>
    </row>
    <row r="384" spans="1:1" x14ac:dyDescent="0.35">
      <c r="A384" s="5"/>
    </row>
    <row r="385" spans="1:1" x14ac:dyDescent="0.35">
      <c r="A385" s="5"/>
    </row>
    <row r="386" spans="1:1" x14ac:dyDescent="0.35">
      <c r="A386" s="5"/>
    </row>
    <row r="387" spans="1:1" x14ac:dyDescent="0.35">
      <c r="A387" s="5"/>
    </row>
    <row r="388" spans="1:1" x14ac:dyDescent="0.35">
      <c r="A388" s="5"/>
    </row>
    <row r="389" spans="1:1" x14ac:dyDescent="0.35">
      <c r="A389" s="5"/>
    </row>
    <row r="390" spans="1:1" x14ac:dyDescent="0.35">
      <c r="A390" s="5"/>
    </row>
    <row r="391" spans="1:1" x14ac:dyDescent="0.35">
      <c r="A391" s="5"/>
    </row>
    <row r="392" spans="1:1" x14ac:dyDescent="0.35">
      <c r="A392" s="5"/>
    </row>
    <row r="393" spans="1:1" x14ac:dyDescent="0.35">
      <c r="A393" s="5"/>
    </row>
    <row r="394" spans="1:1" x14ac:dyDescent="0.35">
      <c r="A394" s="5"/>
    </row>
    <row r="395" spans="1:1" x14ac:dyDescent="0.35">
      <c r="A395" s="5"/>
    </row>
    <row r="396" spans="1:1" x14ac:dyDescent="0.35">
      <c r="A396" s="5"/>
    </row>
    <row r="397" spans="1:1" x14ac:dyDescent="0.35">
      <c r="A397" s="5"/>
    </row>
    <row r="398" spans="1:1" x14ac:dyDescent="0.35">
      <c r="A398" s="5"/>
    </row>
    <row r="399" spans="1:1" x14ac:dyDescent="0.35">
      <c r="A399" s="5"/>
    </row>
    <row r="400" spans="1:1" x14ac:dyDescent="0.35">
      <c r="A400" s="5"/>
    </row>
    <row r="401" spans="1:1" x14ac:dyDescent="0.35">
      <c r="A401" s="5"/>
    </row>
    <row r="402" spans="1:1" x14ac:dyDescent="0.35">
      <c r="A402" s="5"/>
    </row>
    <row r="403" spans="1:1" x14ac:dyDescent="0.35">
      <c r="A403" s="5"/>
    </row>
  </sheetData>
  <sheetProtection password="87D6" sheet="1" formatCells="0" formatColumns="0" formatRows="0" sort="0" autoFilter="0" pivotTables="0"/>
  <protectedRanges>
    <protectedRange sqref="B334:I353" name="Range4"/>
    <protectedRange sqref="H6:I330" name="Range3"/>
    <protectedRange sqref="E6:F330" name="Range2"/>
    <protectedRange sqref="A4:I4" name="Range1"/>
  </protectedRanges>
  <mergeCells count="80">
    <mergeCell ref="B354:G354"/>
    <mergeCell ref="H354:I354"/>
    <mergeCell ref="E4:F4"/>
    <mergeCell ref="B352:G352"/>
    <mergeCell ref="H352:I352"/>
    <mergeCell ref="B353:G353"/>
    <mergeCell ref="H353:I353"/>
    <mergeCell ref="B349:G349"/>
    <mergeCell ref="H349:I349"/>
    <mergeCell ref="B350:G350"/>
    <mergeCell ref="H350:I350"/>
    <mergeCell ref="B351:G351"/>
    <mergeCell ref="H351:I351"/>
    <mergeCell ref="B346:G346"/>
    <mergeCell ref="H346:I346"/>
    <mergeCell ref="B347:G347"/>
    <mergeCell ref="H347:I347"/>
    <mergeCell ref="B348:G348"/>
    <mergeCell ref="H348:I348"/>
    <mergeCell ref="B343:G343"/>
    <mergeCell ref="H343:I343"/>
    <mergeCell ref="B344:G344"/>
    <mergeCell ref="H344:I344"/>
    <mergeCell ref="B345:G345"/>
    <mergeCell ref="H345:I345"/>
    <mergeCell ref="B340:G340"/>
    <mergeCell ref="H340:I340"/>
    <mergeCell ref="B341:G341"/>
    <mergeCell ref="H341:I341"/>
    <mergeCell ref="B342:G342"/>
    <mergeCell ref="H342:I342"/>
    <mergeCell ref="B334:G334"/>
    <mergeCell ref="H334:I334"/>
    <mergeCell ref="B335:G335"/>
    <mergeCell ref="H335:I335"/>
    <mergeCell ref="B336:G336"/>
    <mergeCell ref="H336:I336"/>
    <mergeCell ref="B337:G337"/>
    <mergeCell ref="H337:I337"/>
    <mergeCell ref="B338:G338"/>
    <mergeCell ref="H338:I338"/>
    <mergeCell ref="B339:G339"/>
    <mergeCell ref="H339:I339"/>
    <mergeCell ref="A331:C331"/>
    <mergeCell ref="E331:F331"/>
    <mergeCell ref="A332:I332"/>
    <mergeCell ref="H333:I333"/>
    <mergeCell ref="B333:G333"/>
    <mergeCell ref="G4:H4"/>
    <mergeCell ref="A1:H3"/>
    <mergeCell ref="A6:A15"/>
    <mergeCell ref="A26:A45"/>
    <mergeCell ref="A131:A140"/>
    <mergeCell ref="A56:A70"/>
    <mergeCell ref="A86:A100"/>
    <mergeCell ref="A101:A110"/>
    <mergeCell ref="A16:A25"/>
    <mergeCell ref="A46:A55"/>
    <mergeCell ref="A4:C4"/>
    <mergeCell ref="A111:A130"/>
    <mergeCell ref="A71:A80"/>
    <mergeCell ref="A81:A85"/>
    <mergeCell ref="A281:A330"/>
    <mergeCell ref="A266:A280"/>
    <mergeCell ref="A201:A205"/>
    <mergeCell ref="A206:A215"/>
    <mergeCell ref="A216:A225"/>
    <mergeCell ref="A261:A265"/>
    <mergeCell ref="A226:A235"/>
    <mergeCell ref="A141:A150"/>
    <mergeCell ref="A159:A160"/>
    <mergeCell ref="A151:A154"/>
    <mergeCell ref="A155:A157"/>
    <mergeCell ref="A251:A260"/>
    <mergeCell ref="A241:A250"/>
    <mergeCell ref="A236:A240"/>
    <mergeCell ref="A161:A175"/>
    <mergeCell ref="A181:A185"/>
    <mergeCell ref="A176:A180"/>
    <mergeCell ref="A186:A200"/>
  </mergeCells>
  <dataValidations count="2">
    <dataValidation type="list" allowBlank="1" showInputMessage="1" showErrorMessage="1" sqref="E6:E330" xr:uid="{00000000-0002-0000-0000-000000000000}">
      <formula1>$J$1:$K$1</formula1>
    </dataValidation>
    <dataValidation type="list" allowBlank="1" showInputMessage="1" showErrorMessage="1" sqref="F6:F330" xr:uid="{00000000-0002-0000-0000-000001000000}">
      <formula1>$J$1:$L$1</formula1>
    </dataValidation>
  </dataValidations>
  <pageMargins left="0.2" right="0.2" top="0.2" bottom="0.2" header="0.2" footer="0.2"/>
  <pageSetup paperSize="9" scale="38" fitToHeight="0" orientation="portrait" r:id="rId1"/>
  <headerFooter>
    <oddFooter>&amp;RPage &amp;P of &amp;N</oddFooter>
  </headerFooter>
  <rowBreaks count="6" manualBreakCount="6">
    <brk id="45" max="8" man="1"/>
    <brk id="85" max="8" man="1"/>
    <brk id="215" max="8" man="1"/>
    <brk id="250" max="8" man="1"/>
    <brk id="290" max="8" man="1"/>
    <brk id="331"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6"/>
  <sheetViews>
    <sheetView workbookViewId="0">
      <selection activeCell="P3" sqref="P3:R3"/>
    </sheetView>
  </sheetViews>
  <sheetFormatPr defaultColWidth="9.1796875" defaultRowHeight="13" x14ac:dyDescent="0.3"/>
  <cols>
    <col min="1" max="1" width="16.81640625" style="21" bestFit="1" customWidth="1"/>
    <col min="2" max="2" width="27.7265625" style="21" customWidth="1"/>
    <col min="3" max="5" width="6.81640625" style="21" customWidth="1"/>
    <col min="6" max="6" width="7.81640625" style="17" customWidth="1"/>
    <col min="7" max="14" width="6.81640625" style="17" customWidth="1"/>
    <col min="15" max="15" width="7.81640625" style="17" customWidth="1"/>
    <col min="16" max="16" width="8.26953125" style="17" customWidth="1"/>
    <col min="17" max="17" width="24.54296875" style="17" customWidth="1"/>
    <col min="18" max="18" width="32.54296875" style="17" customWidth="1"/>
    <col min="19" max="21" width="0" style="17" hidden="1" customWidth="1"/>
    <col min="22" max="16384" width="9.1796875" style="17"/>
  </cols>
  <sheetData>
    <row r="1" spans="1:21" s="24" customFormat="1" ht="19.5" customHeight="1" x14ac:dyDescent="0.35">
      <c r="A1" s="102" t="s">
        <v>546</v>
      </c>
      <c r="B1" s="103"/>
      <c r="C1" s="103"/>
      <c r="D1" s="103"/>
      <c r="E1" s="103"/>
      <c r="F1" s="103"/>
      <c r="G1" s="103"/>
      <c r="H1" s="103"/>
      <c r="I1" s="103"/>
      <c r="J1" s="103"/>
      <c r="K1" s="103"/>
      <c r="L1" s="103"/>
      <c r="M1" s="103"/>
      <c r="N1" s="103"/>
      <c r="O1" s="133"/>
      <c r="P1" s="124" t="s">
        <v>534</v>
      </c>
      <c r="Q1" s="125"/>
      <c r="R1" s="126"/>
    </row>
    <row r="2" spans="1:21" s="24" customFormat="1" ht="19.5" customHeight="1" x14ac:dyDescent="0.35">
      <c r="A2" s="104"/>
      <c r="B2" s="105"/>
      <c r="C2" s="105"/>
      <c r="D2" s="105"/>
      <c r="E2" s="105"/>
      <c r="F2" s="105"/>
      <c r="G2" s="105"/>
      <c r="H2" s="105"/>
      <c r="I2" s="105"/>
      <c r="J2" s="105"/>
      <c r="K2" s="105"/>
      <c r="L2" s="105"/>
      <c r="M2" s="105"/>
      <c r="N2" s="105"/>
      <c r="O2" s="134"/>
      <c r="P2" s="127" t="s">
        <v>547</v>
      </c>
      <c r="Q2" s="128"/>
      <c r="R2" s="129"/>
    </row>
    <row r="3" spans="1:21" s="24" customFormat="1" ht="19.5" customHeight="1" thickBot="1" x14ac:dyDescent="0.4">
      <c r="A3" s="135"/>
      <c r="B3" s="136"/>
      <c r="C3" s="136"/>
      <c r="D3" s="136"/>
      <c r="E3" s="136"/>
      <c r="F3" s="136"/>
      <c r="G3" s="136"/>
      <c r="H3" s="136"/>
      <c r="I3" s="136"/>
      <c r="J3" s="136"/>
      <c r="K3" s="136"/>
      <c r="L3" s="136"/>
      <c r="M3" s="136"/>
      <c r="N3" s="136"/>
      <c r="O3" s="137"/>
      <c r="P3" s="130" t="s">
        <v>548</v>
      </c>
      <c r="Q3" s="131"/>
      <c r="R3" s="132"/>
    </row>
    <row r="4" spans="1:21" s="5" customFormat="1" ht="52.5" customHeight="1" thickBot="1" x14ac:dyDescent="0.4">
      <c r="A4" s="150" t="s">
        <v>201</v>
      </c>
      <c r="B4" s="141"/>
      <c r="C4" s="142"/>
      <c r="D4" s="140" t="s">
        <v>45</v>
      </c>
      <c r="E4" s="141"/>
      <c r="F4" s="142"/>
      <c r="G4" s="140" t="s">
        <v>2</v>
      </c>
      <c r="H4" s="141"/>
      <c r="I4" s="141"/>
      <c r="J4" s="142"/>
      <c r="K4" s="140" t="s">
        <v>0</v>
      </c>
      <c r="L4" s="141"/>
      <c r="M4" s="141"/>
      <c r="N4" s="141"/>
      <c r="O4" s="142"/>
      <c r="P4" s="140" t="s">
        <v>1</v>
      </c>
      <c r="Q4" s="141"/>
      <c r="R4" s="151"/>
      <c r="S4" s="2" t="s">
        <v>204</v>
      </c>
      <c r="T4" s="2">
        <v>1</v>
      </c>
      <c r="U4" s="2">
        <v>0</v>
      </c>
    </row>
    <row r="5" spans="1:21" s="57" customFormat="1" ht="16.5" customHeight="1" thickBot="1" x14ac:dyDescent="0.4">
      <c r="A5" s="152" t="s">
        <v>530</v>
      </c>
      <c r="B5" s="143"/>
      <c r="C5" s="153" t="s">
        <v>313</v>
      </c>
      <c r="D5" s="153"/>
      <c r="E5" s="153"/>
      <c r="F5" s="143" t="s">
        <v>314</v>
      </c>
      <c r="G5" s="143"/>
      <c r="H5" s="143"/>
      <c r="I5" s="143"/>
      <c r="J5" s="143"/>
      <c r="K5" s="143"/>
      <c r="L5" s="143"/>
      <c r="M5" s="143"/>
      <c r="N5" s="143"/>
      <c r="O5" s="143"/>
      <c r="P5" s="143"/>
      <c r="Q5" s="144"/>
      <c r="R5" s="145"/>
      <c r="S5" s="55" t="s">
        <v>204</v>
      </c>
      <c r="T5" s="56" t="s">
        <v>315</v>
      </c>
    </row>
    <row r="6" spans="1:21" s="15" customFormat="1" ht="52.5" thickBot="1" x14ac:dyDescent="0.4">
      <c r="A6" s="58" t="s">
        <v>316</v>
      </c>
      <c r="B6" s="59" t="s">
        <v>317</v>
      </c>
      <c r="C6" s="60" t="s">
        <v>318</v>
      </c>
      <c r="D6" s="61" t="s">
        <v>319</v>
      </c>
      <c r="E6" s="62" t="s">
        <v>320</v>
      </c>
      <c r="F6" s="59" t="s">
        <v>212</v>
      </c>
      <c r="G6" s="59" t="s">
        <v>321</v>
      </c>
      <c r="H6" s="59" t="s">
        <v>322</v>
      </c>
      <c r="I6" s="59" t="s">
        <v>323</v>
      </c>
      <c r="J6" s="59" t="s">
        <v>324</v>
      </c>
      <c r="K6" s="59" t="s">
        <v>325</v>
      </c>
      <c r="L6" s="59" t="s">
        <v>326</v>
      </c>
      <c r="M6" s="59" t="s">
        <v>268</v>
      </c>
      <c r="N6" s="59" t="s">
        <v>327</v>
      </c>
      <c r="O6" s="59" t="s">
        <v>328</v>
      </c>
      <c r="P6" s="59" t="s">
        <v>532</v>
      </c>
      <c r="Q6" s="63" t="s">
        <v>329</v>
      </c>
      <c r="R6" s="14" t="s">
        <v>210</v>
      </c>
    </row>
    <row r="7" spans="1:21" ht="52" x14ac:dyDescent="0.3">
      <c r="A7" s="146" t="s">
        <v>330</v>
      </c>
      <c r="B7" s="64" t="s">
        <v>331</v>
      </c>
      <c r="C7" s="65">
        <v>4.0999999999999996</v>
      </c>
      <c r="D7" s="66">
        <v>4.0999999999999996</v>
      </c>
      <c r="E7" s="67">
        <v>4.0999999999999996</v>
      </c>
      <c r="F7" s="68" t="s">
        <v>204</v>
      </c>
      <c r="G7" s="68" t="s">
        <v>204</v>
      </c>
      <c r="H7" s="68" t="s">
        <v>204</v>
      </c>
      <c r="I7" s="68" t="s">
        <v>204</v>
      </c>
      <c r="J7" s="68" t="s">
        <v>204</v>
      </c>
      <c r="K7" s="68" t="s">
        <v>204</v>
      </c>
      <c r="L7" s="68" t="s">
        <v>204</v>
      </c>
      <c r="M7" s="68" t="s">
        <v>204</v>
      </c>
      <c r="N7" s="68" t="s">
        <v>204</v>
      </c>
      <c r="O7" s="68" t="s">
        <v>332</v>
      </c>
      <c r="P7" s="68" t="s">
        <v>332</v>
      </c>
      <c r="Q7" s="69" t="s">
        <v>333</v>
      </c>
      <c r="R7" s="16"/>
    </row>
    <row r="8" spans="1:21" ht="78" x14ac:dyDescent="0.3">
      <c r="A8" s="147"/>
      <c r="B8" s="70" t="s">
        <v>334</v>
      </c>
      <c r="C8" s="71">
        <v>4.2</v>
      </c>
      <c r="D8" s="72">
        <v>4.2</v>
      </c>
      <c r="E8" s="73">
        <v>4.2</v>
      </c>
      <c r="F8" s="68" t="s">
        <v>204</v>
      </c>
      <c r="G8" s="68" t="s">
        <v>204</v>
      </c>
      <c r="H8" s="68" t="s">
        <v>204</v>
      </c>
      <c r="I8" s="68" t="s">
        <v>204</v>
      </c>
      <c r="J8" s="68" t="s">
        <v>204</v>
      </c>
      <c r="K8" s="68" t="s">
        <v>204</v>
      </c>
      <c r="L8" s="68" t="s">
        <v>204</v>
      </c>
      <c r="M8" s="68" t="s">
        <v>204</v>
      </c>
      <c r="N8" s="68" t="s">
        <v>204</v>
      </c>
      <c r="O8" s="68" t="s">
        <v>332</v>
      </c>
      <c r="P8" s="68" t="s">
        <v>332</v>
      </c>
      <c r="Q8" s="74" t="s">
        <v>337</v>
      </c>
      <c r="R8" s="18"/>
    </row>
    <row r="9" spans="1:21" ht="39" x14ac:dyDescent="0.3">
      <c r="A9" s="148"/>
      <c r="B9" s="70" t="s">
        <v>335</v>
      </c>
      <c r="C9" s="71">
        <v>4.0999999999999996</v>
      </c>
      <c r="D9" s="72">
        <v>4.0999999999999996</v>
      </c>
      <c r="E9" s="73">
        <v>4.0999999999999996</v>
      </c>
      <c r="F9" s="68" t="s">
        <v>204</v>
      </c>
      <c r="G9" s="68" t="s">
        <v>204</v>
      </c>
      <c r="H9" s="68" t="s">
        <v>204</v>
      </c>
      <c r="I9" s="68" t="s">
        <v>204</v>
      </c>
      <c r="J9" s="68" t="s">
        <v>204</v>
      </c>
      <c r="K9" s="68" t="s">
        <v>204</v>
      </c>
      <c r="L9" s="68" t="s">
        <v>204</v>
      </c>
      <c r="M9" s="68" t="s">
        <v>204</v>
      </c>
      <c r="N9" s="68" t="s">
        <v>204</v>
      </c>
      <c r="O9" s="75" t="s">
        <v>332</v>
      </c>
      <c r="P9" s="75" t="s">
        <v>332</v>
      </c>
      <c r="Q9" s="74" t="s">
        <v>336</v>
      </c>
      <c r="R9" s="18"/>
    </row>
    <row r="10" spans="1:21" ht="117" x14ac:dyDescent="0.3">
      <c r="A10" s="149" t="s">
        <v>338</v>
      </c>
      <c r="B10" s="76" t="s">
        <v>339</v>
      </c>
      <c r="C10" s="77">
        <v>5.2</v>
      </c>
      <c r="D10" s="78">
        <v>5.2</v>
      </c>
      <c r="E10" s="79">
        <v>5.2</v>
      </c>
      <c r="F10" s="80" t="s">
        <v>332</v>
      </c>
      <c r="G10" s="80" t="s">
        <v>332</v>
      </c>
      <c r="H10" s="80" t="s">
        <v>332</v>
      </c>
      <c r="I10" s="80" t="s">
        <v>332</v>
      </c>
      <c r="J10" s="80" t="s">
        <v>332</v>
      </c>
      <c r="K10" s="80" t="s">
        <v>332</v>
      </c>
      <c r="L10" s="80" t="s">
        <v>332</v>
      </c>
      <c r="M10" s="80" t="s">
        <v>332</v>
      </c>
      <c r="N10" s="80" t="s">
        <v>332</v>
      </c>
      <c r="O10" s="80" t="s">
        <v>332</v>
      </c>
      <c r="P10" s="80" t="s">
        <v>332</v>
      </c>
      <c r="Q10" s="81" t="s">
        <v>527</v>
      </c>
      <c r="R10" s="19"/>
    </row>
    <row r="11" spans="1:21" ht="52" x14ac:dyDescent="0.3">
      <c r="A11" s="147"/>
      <c r="B11" s="76" t="s">
        <v>340</v>
      </c>
      <c r="C11" s="77">
        <v>5.3</v>
      </c>
      <c r="D11" s="78">
        <v>5.3</v>
      </c>
      <c r="E11" s="79">
        <v>5.3</v>
      </c>
      <c r="F11" s="80" t="s">
        <v>332</v>
      </c>
      <c r="G11" s="80" t="s">
        <v>332</v>
      </c>
      <c r="H11" s="80" t="s">
        <v>332</v>
      </c>
      <c r="I11" s="80" t="s">
        <v>332</v>
      </c>
      <c r="J11" s="80" t="s">
        <v>332</v>
      </c>
      <c r="K11" s="80" t="s">
        <v>332</v>
      </c>
      <c r="L11" s="80" t="s">
        <v>332</v>
      </c>
      <c r="M11" s="80" t="s">
        <v>332</v>
      </c>
      <c r="N11" s="80" t="s">
        <v>332</v>
      </c>
      <c r="O11" s="80" t="s">
        <v>332</v>
      </c>
      <c r="P11" s="80" t="s">
        <v>332</v>
      </c>
      <c r="Q11" s="81" t="s">
        <v>341</v>
      </c>
      <c r="R11" s="19"/>
    </row>
    <row r="12" spans="1:21" ht="117" x14ac:dyDescent="0.3">
      <c r="A12" s="147"/>
      <c r="B12" s="76" t="s">
        <v>342</v>
      </c>
      <c r="C12" s="77" t="s">
        <v>204</v>
      </c>
      <c r="D12" s="78" t="s">
        <v>204</v>
      </c>
      <c r="E12" s="79">
        <v>5.4</v>
      </c>
      <c r="F12" s="80" t="s">
        <v>332</v>
      </c>
      <c r="G12" s="80" t="s">
        <v>332</v>
      </c>
      <c r="H12" s="80" t="s">
        <v>332</v>
      </c>
      <c r="I12" s="80" t="s">
        <v>332</v>
      </c>
      <c r="J12" s="80" t="s">
        <v>332</v>
      </c>
      <c r="K12" s="80" t="s">
        <v>332</v>
      </c>
      <c r="L12" s="80" t="s">
        <v>332</v>
      </c>
      <c r="M12" s="80" t="s">
        <v>332</v>
      </c>
      <c r="N12" s="80" t="s">
        <v>332</v>
      </c>
      <c r="O12" s="80" t="s">
        <v>332</v>
      </c>
      <c r="P12" s="80" t="s">
        <v>332</v>
      </c>
      <c r="Q12" s="81" t="s">
        <v>343</v>
      </c>
      <c r="R12" s="19"/>
    </row>
    <row r="13" spans="1:21" ht="78" x14ac:dyDescent="0.3">
      <c r="A13" s="138" t="s">
        <v>528</v>
      </c>
      <c r="B13" s="76" t="s">
        <v>344</v>
      </c>
      <c r="C13" s="77" t="s">
        <v>345</v>
      </c>
      <c r="D13" s="78" t="s">
        <v>345</v>
      </c>
      <c r="E13" s="79" t="s">
        <v>345</v>
      </c>
      <c r="F13" s="80" t="s">
        <v>332</v>
      </c>
      <c r="G13" s="80" t="s">
        <v>332</v>
      </c>
      <c r="H13" s="80" t="s">
        <v>332</v>
      </c>
      <c r="I13" s="80" t="s">
        <v>332</v>
      </c>
      <c r="J13" s="80" t="s">
        <v>332</v>
      </c>
      <c r="K13" s="80" t="s">
        <v>332</v>
      </c>
      <c r="L13" s="80" t="s">
        <v>332</v>
      </c>
      <c r="M13" s="80" t="s">
        <v>332</v>
      </c>
      <c r="N13" s="80" t="s">
        <v>332</v>
      </c>
      <c r="O13" s="80" t="s">
        <v>332</v>
      </c>
      <c r="P13" s="80" t="s">
        <v>332</v>
      </c>
      <c r="Q13" s="81" t="s">
        <v>346</v>
      </c>
      <c r="R13" s="19"/>
    </row>
    <row r="14" spans="1:21" ht="26" x14ac:dyDescent="0.3">
      <c r="A14" s="154"/>
      <c r="B14" s="76" t="s">
        <v>347</v>
      </c>
      <c r="C14" s="77" t="s">
        <v>345</v>
      </c>
      <c r="D14" s="78" t="s">
        <v>345</v>
      </c>
      <c r="E14" s="79" t="s">
        <v>345</v>
      </c>
      <c r="F14" s="80" t="s">
        <v>332</v>
      </c>
      <c r="G14" s="80" t="s">
        <v>332</v>
      </c>
      <c r="H14" s="80" t="s">
        <v>332</v>
      </c>
      <c r="I14" s="80" t="s">
        <v>332</v>
      </c>
      <c r="J14" s="80" t="s">
        <v>332</v>
      </c>
      <c r="K14" s="80" t="s">
        <v>332</v>
      </c>
      <c r="L14" s="80" t="s">
        <v>332</v>
      </c>
      <c r="M14" s="80" t="s">
        <v>332</v>
      </c>
      <c r="N14" s="80" t="s">
        <v>332</v>
      </c>
      <c r="O14" s="80" t="s">
        <v>332</v>
      </c>
      <c r="P14" s="80" t="s">
        <v>332</v>
      </c>
      <c r="Q14" s="81" t="s">
        <v>348</v>
      </c>
      <c r="R14" s="19"/>
    </row>
    <row r="15" spans="1:21" ht="52" x14ac:dyDescent="0.3">
      <c r="A15" s="154"/>
      <c r="B15" s="76" t="s">
        <v>349</v>
      </c>
      <c r="C15" s="77" t="s">
        <v>350</v>
      </c>
      <c r="D15" s="78" t="s">
        <v>350</v>
      </c>
      <c r="E15" s="79" t="s">
        <v>350</v>
      </c>
      <c r="F15" s="80" t="s">
        <v>332</v>
      </c>
      <c r="G15" s="80" t="s">
        <v>332</v>
      </c>
      <c r="H15" s="80" t="s">
        <v>332</v>
      </c>
      <c r="I15" s="80" t="s">
        <v>332</v>
      </c>
      <c r="J15" s="80" t="s">
        <v>332</v>
      </c>
      <c r="K15" s="80" t="s">
        <v>332</v>
      </c>
      <c r="L15" s="80" t="s">
        <v>332</v>
      </c>
      <c r="M15" s="80" t="s">
        <v>332</v>
      </c>
      <c r="N15" s="80" t="s">
        <v>332</v>
      </c>
      <c r="O15" s="80" t="s">
        <v>332</v>
      </c>
      <c r="P15" s="80" t="s">
        <v>332</v>
      </c>
      <c r="Q15" s="81" t="s">
        <v>351</v>
      </c>
      <c r="R15" s="19"/>
    </row>
    <row r="16" spans="1:21" ht="26" x14ac:dyDescent="0.3">
      <c r="A16" s="139"/>
      <c r="B16" s="76" t="s">
        <v>352</v>
      </c>
      <c r="C16" s="77">
        <v>7.2</v>
      </c>
      <c r="D16" s="78">
        <v>7.2</v>
      </c>
      <c r="E16" s="79">
        <v>7.2</v>
      </c>
      <c r="F16" s="80" t="s">
        <v>332</v>
      </c>
      <c r="G16" s="80" t="s">
        <v>332</v>
      </c>
      <c r="H16" s="80" t="s">
        <v>332</v>
      </c>
      <c r="I16" s="80" t="s">
        <v>332</v>
      </c>
      <c r="J16" s="80" t="s">
        <v>332</v>
      </c>
      <c r="K16" s="80" t="s">
        <v>332</v>
      </c>
      <c r="L16" s="80" t="s">
        <v>332</v>
      </c>
      <c r="M16" s="80" t="s">
        <v>332</v>
      </c>
      <c r="N16" s="80" t="s">
        <v>332</v>
      </c>
      <c r="O16" s="80" t="s">
        <v>332</v>
      </c>
      <c r="P16" s="80" t="s">
        <v>332</v>
      </c>
      <c r="Q16" s="81" t="s">
        <v>353</v>
      </c>
      <c r="R16" s="19"/>
    </row>
    <row r="17" spans="1:18" ht="78" x14ac:dyDescent="0.3">
      <c r="A17" s="138" t="s">
        <v>354</v>
      </c>
      <c r="B17" s="76" t="s">
        <v>355</v>
      </c>
      <c r="C17" s="77" t="s">
        <v>204</v>
      </c>
      <c r="D17" s="78" t="s">
        <v>350</v>
      </c>
      <c r="E17" s="79" t="s">
        <v>350</v>
      </c>
      <c r="F17" s="80" t="s">
        <v>332</v>
      </c>
      <c r="G17" s="80" t="s">
        <v>332</v>
      </c>
      <c r="H17" s="80" t="s">
        <v>332</v>
      </c>
      <c r="I17" s="80" t="s">
        <v>332</v>
      </c>
      <c r="J17" s="80" t="s">
        <v>332</v>
      </c>
      <c r="K17" s="80" t="s">
        <v>332</v>
      </c>
      <c r="L17" s="80" t="s">
        <v>332</v>
      </c>
      <c r="M17" s="80" t="s">
        <v>332</v>
      </c>
      <c r="N17" s="80" t="s">
        <v>332</v>
      </c>
      <c r="O17" s="80" t="s">
        <v>332</v>
      </c>
      <c r="P17" s="80" t="s">
        <v>332</v>
      </c>
      <c r="Q17" s="81" t="s">
        <v>356</v>
      </c>
      <c r="R17" s="19"/>
    </row>
    <row r="18" spans="1:18" ht="39" x14ac:dyDescent="0.3">
      <c r="A18" s="154"/>
      <c r="B18" s="76" t="s">
        <v>357</v>
      </c>
      <c r="C18" s="77" t="s">
        <v>204</v>
      </c>
      <c r="D18" s="78" t="s">
        <v>350</v>
      </c>
      <c r="E18" s="79" t="s">
        <v>350</v>
      </c>
      <c r="F18" s="80" t="s">
        <v>332</v>
      </c>
      <c r="G18" s="80" t="s">
        <v>332</v>
      </c>
      <c r="H18" s="80" t="s">
        <v>332</v>
      </c>
      <c r="I18" s="80" t="s">
        <v>332</v>
      </c>
      <c r="J18" s="80" t="s">
        <v>332</v>
      </c>
      <c r="K18" s="80" t="s">
        <v>332</v>
      </c>
      <c r="L18" s="80" t="s">
        <v>332</v>
      </c>
      <c r="M18" s="80" t="s">
        <v>332</v>
      </c>
      <c r="N18" s="80" t="s">
        <v>332</v>
      </c>
      <c r="O18" s="80" t="s">
        <v>332</v>
      </c>
      <c r="P18" s="80" t="s">
        <v>332</v>
      </c>
      <c r="Q18" s="81" t="s">
        <v>358</v>
      </c>
      <c r="R18" s="19"/>
    </row>
    <row r="19" spans="1:18" ht="39" x14ac:dyDescent="0.3">
      <c r="A19" s="139"/>
      <c r="B19" s="76" t="s">
        <v>359</v>
      </c>
      <c r="C19" s="77" t="s">
        <v>204</v>
      </c>
      <c r="D19" s="78" t="s">
        <v>350</v>
      </c>
      <c r="E19" s="79" t="s">
        <v>350</v>
      </c>
      <c r="F19" s="80" t="s">
        <v>332</v>
      </c>
      <c r="G19" s="80" t="s">
        <v>332</v>
      </c>
      <c r="H19" s="80" t="s">
        <v>332</v>
      </c>
      <c r="I19" s="80" t="s">
        <v>332</v>
      </c>
      <c r="J19" s="80" t="s">
        <v>332</v>
      </c>
      <c r="K19" s="80" t="s">
        <v>332</v>
      </c>
      <c r="L19" s="80" t="s">
        <v>332</v>
      </c>
      <c r="M19" s="80" t="s">
        <v>332</v>
      </c>
      <c r="N19" s="80" t="s">
        <v>332</v>
      </c>
      <c r="O19" s="80" t="s">
        <v>332</v>
      </c>
      <c r="P19" s="80" t="s">
        <v>332</v>
      </c>
      <c r="Q19" s="81" t="s">
        <v>360</v>
      </c>
      <c r="R19" s="19"/>
    </row>
    <row r="20" spans="1:18" ht="52" x14ac:dyDescent="0.3">
      <c r="A20" s="138" t="s">
        <v>361</v>
      </c>
      <c r="B20" s="76" t="s">
        <v>362</v>
      </c>
      <c r="C20" s="77" t="s">
        <v>363</v>
      </c>
      <c r="D20" s="78" t="s">
        <v>363</v>
      </c>
      <c r="E20" s="79" t="s">
        <v>363</v>
      </c>
      <c r="F20" s="80" t="s">
        <v>332</v>
      </c>
      <c r="G20" s="80" t="s">
        <v>332</v>
      </c>
      <c r="H20" s="80" t="s">
        <v>332</v>
      </c>
      <c r="I20" s="80" t="s">
        <v>332</v>
      </c>
      <c r="J20" s="80" t="s">
        <v>332</v>
      </c>
      <c r="K20" s="80" t="s">
        <v>332</v>
      </c>
      <c r="L20" s="80" t="s">
        <v>332</v>
      </c>
      <c r="M20" s="80" t="s">
        <v>332</v>
      </c>
      <c r="N20" s="80" t="s">
        <v>332</v>
      </c>
      <c r="O20" s="80" t="s">
        <v>332</v>
      </c>
      <c r="P20" s="80" t="s">
        <v>332</v>
      </c>
      <c r="Q20" s="81" t="s">
        <v>364</v>
      </c>
      <c r="R20" s="19"/>
    </row>
    <row r="21" spans="1:18" ht="52" x14ac:dyDescent="0.3">
      <c r="A21" s="154"/>
      <c r="B21" s="76" t="s">
        <v>365</v>
      </c>
      <c r="C21" s="77" t="s">
        <v>366</v>
      </c>
      <c r="D21" s="78" t="s">
        <v>366</v>
      </c>
      <c r="E21" s="79" t="s">
        <v>366</v>
      </c>
      <c r="F21" s="80" t="s">
        <v>332</v>
      </c>
      <c r="G21" s="80" t="s">
        <v>332</v>
      </c>
      <c r="H21" s="80" t="s">
        <v>332</v>
      </c>
      <c r="I21" s="80" t="s">
        <v>332</v>
      </c>
      <c r="J21" s="80" t="s">
        <v>332</v>
      </c>
      <c r="K21" s="80" t="s">
        <v>332</v>
      </c>
      <c r="L21" s="80" t="s">
        <v>332</v>
      </c>
      <c r="M21" s="80" t="s">
        <v>332</v>
      </c>
      <c r="N21" s="80" t="s">
        <v>332</v>
      </c>
      <c r="O21" s="80" t="s">
        <v>332</v>
      </c>
      <c r="P21" s="80" t="s">
        <v>332</v>
      </c>
      <c r="Q21" s="81" t="s">
        <v>367</v>
      </c>
      <c r="R21" s="19"/>
    </row>
    <row r="22" spans="1:18" ht="39" x14ac:dyDescent="0.3">
      <c r="A22" s="139"/>
      <c r="B22" s="76" t="s">
        <v>368</v>
      </c>
      <c r="C22" s="77" t="s">
        <v>366</v>
      </c>
      <c r="D22" s="78" t="s">
        <v>366</v>
      </c>
      <c r="E22" s="79" t="s">
        <v>366</v>
      </c>
      <c r="F22" s="80" t="s">
        <v>332</v>
      </c>
      <c r="G22" s="80" t="s">
        <v>332</v>
      </c>
      <c r="H22" s="80" t="s">
        <v>332</v>
      </c>
      <c r="I22" s="80" t="s">
        <v>332</v>
      </c>
      <c r="J22" s="80" t="s">
        <v>332</v>
      </c>
      <c r="K22" s="80" t="s">
        <v>332</v>
      </c>
      <c r="L22" s="80" t="s">
        <v>332</v>
      </c>
      <c r="M22" s="80" t="s">
        <v>332</v>
      </c>
      <c r="N22" s="80" t="s">
        <v>332</v>
      </c>
      <c r="O22" s="80" t="s">
        <v>332</v>
      </c>
      <c r="P22" s="80" t="s">
        <v>332</v>
      </c>
      <c r="Q22" s="81" t="s">
        <v>369</v>
      </c>
      <c r="R22" s="19"/>
    </row>
    <row r="23" spans="1:18" ht="78" x14ac:dyDescent="0.3">
      <c r="A23" s="138" t="s">
        <v>370</v>
      </c>
      <c r="B23" s="76" t="s">
        <v>371</v>
      </c>
      <c r="C23" s="77" t="s">
        <v>204</v>
      </c>
      <c r="D23" s="78" t="s">
        <v>372</v>
      </c>
      <c r="E23" s="79" t="s">
        <v>372</v>
      </c>
      <c r="F23" s="80" t="s">
        <v>204</v>
      </c>
      <c r="G23" s="80" t="s">
        <v>204</v>
      </c>
      <c r="H23" s="80" t="s">
        <v>204</v>
      </c>
      <c r="I23" s="80" t="s">
        <v>204</v>
      </c>
      <c r="J23" s="80" t="s">
        <v>204</v>
      </c>
      <c r="K23" s="80" t="s">
        <v>204</v>
      </c>
      <c r="L23" s="80" t="s">
        <v>204</v>
      </c>
      <c r="M23" s="80" t="s">
        <v>204</v>
      </c>
      <c r="N23" s="80" t="s">
        <v>204</v>
      </c>
      <c r="O23" s="80" t="s">
        <v>204</v>
      </c>
      <c r="P23" s="80" t="s">
        <v>332</v>
      </c>
      <c r="Q23" s="81" t="s">
        <v>373</v>
      </c>
      <c r="R23" s="19"/>
    </row>
    <row r="24" spans="1:18" ht="26" x14ac:dyDescent="0.3">
      <c r="A24" s="139"/>
      <c r="B24" s="76" t="s">
        <v>374</v>
      </c>
      <c r="C24" s="77" t="s">
        <v>204</v>
      </c>
      <c r="D24" s="78" t="s">
        <v>375</v>
      </c>
      <c r="E24" s="79" t="s">
        <v>375</v>
      </c>
      <c r="F24" s="80" t="s">
        <v>204</v>
      </c>
      <c r="G24" s="80" t="s">
        <v>204</v>
      </c>
      <c r="H24" s="80" t="s">
        <v>204</v>
      </c>
      <c r="I24" s="80" t="s">
        <v>204</v>
      </c>
      <c r="J24" s="80" t="s">
        <v>204</v>
      </c>
      <c r="K24" s="80" t="s">
        <v>204</v>
      </c>
      <c r="L24" s="80" t="s">
        <v>204</v>
      </c>
      <c r="M24" s="80" t="s">
        <v>204</v>
      </c>
      <c r="N24" s="80" t="s">
        <v>204</v>
      </c>
      <c r="O24" s="80" t="s">
        <v>204</v>
      </c>
      <c r="P24" s="80" t="s">
        <v>332</v>
      </c>
      <c r="Q24" s="81" t="s">
        <v>376</v>
      </c>
      <c r="R24" s="19"/>
    </row>
    <row r="25" spans="1:18" ht="52" x14ac:dyDescent="0.3">
      <c r="A25" s="138" t="s">
        <v>377</v>
      </c>
      <c r="B25" s="76" t="s">
        <v>378</v>
      </c>
      <c r="C25" s="77" t="s">
        <v>379</v>
      </c>
      <c r="D25" s="78">
        <v>8.1</v>
      </c>
      <c r="E25" s="79">
        <v>8.1</v>
      </c>
      <c r="F25" s="80" t="s">
        <v>204</v>
      </c>
      <c r="G25" s="80" t="s">
        <v>204</v>
      </c>
      <c r="H25" s="80" t="s">
        <v>332</v>
      </c>
      <c r="I25" s="80" t="s">
        <v>204</v>
      </c>
      <c r="J25" s="80" t="s">
        <v>204</v>
      </c>
      <c r="K25" s="80" t="s">
        <v>204</v>
      </c>
      <c r="L25" s="80" t="s">
        <v>204</v>
      </c>
      <c r="M25" s="80" t="s">
        <v>204</v>
      </c>
      <c r="N25" s="80" t="s">
        <v>204</v>
      </c>
      <c r="O25" s="80" t="s">
        <v>332</v>
      </c>
      <c r="P25" s="80" t="s">
        <v>204</v>
      </c>
      <c r="Q25" s="81" t="s">
        <v>380</v>
      </c>
      <c r="R25" s="19"/>
    </row>
    <row r="26" spans="1:18" ht="65" x14ac:dyDescent="0.3">
      <c r="A26" s="154"/>
      <c r="B26" s="76" t="s">
        <v>381</v>
      </c>
      <c r="C26" s="77" t="s">
        <v>379</v>
      </c>
      <c r="D26" s="78">
        <v>9.1</v>
      </c>
      <c r="E26" s="79">
        <v>9.1</v>
      </c>
      <c r="F26" s="80" t="s">
        <v>204</v>
      </c>
      <c r="G26" s="80" t="s">
        <v>204</v>
      </c>
      <c r="H26" s="80" t="s">
        <v>332</v>
      </c>
      <c r="I26" s="80" t="s">
        <v>204</v>
      </c>
      <c r="J26" s="80" t="s">
        <v>204</v>
      </c>
      <c r="K26" s="80" t="s">
        <v>204</v>
      </c>
      <c r="L26" s="80" t="s">
        <v>204</v>
      </c>
      <c r="M26" s="80" t="s">
        <v>204</v>
      </c>
      <c r="N26" s="80" t="s">
        <v>204</v>
      </c>
      <c r="O26" s="80" t="s">
        <v>332</v>
      </c>
      <c r="P26" s="80" t="s">
        <v>204</v>
      </c>
      <c r="Q26" s="81" t="s">
        <v>382</v>
      </c>
      <c r="R26" s="19"/>
    </row>
    <row r="27" spans="1:18" ht="65" x14ac:dyDescent="0.3">
      <c r="A27" s="139"/>
      <c r="B27" s="76" t="s">
        <v>383</v>
      </c>
      <c r="C27" s="77" t="s">
        <v>384</v>
      </c>
      <c r="D27" s="78">
        <v>8.1</v>
      </c>
      <c r="E27" s="79">
        <v>8.1</v>
      </c>
      <c r="F27" s="80" t="s">
        <v>332</v>
      </c>
      <c r="G27" s="80" t="s">
        <v>332</v>
      </c>
      <c r="H27" s="80" t="s">
        <v>332</v>
      </c>
      <c r="I27" s="80" t="s">
        <v>332</v>
      </c>
      <c r="J27" s="80" t="s">
        <v>332</v>
      </c>
      <c r="K27" s="80" t="s">
        <v>332</v>
      </c>
      <c r="L27" s="80" t="s">
        <v>332</v>
      </c>
      <c r="M27" s="80" t="s">
        <v>332</v>
      </c>
      <c r="N27" s="80" t="s">
        <v>332</v>
      </c>
      <c r="O27" s="80" t="s">
        <v>332</v>
      </c>
      <c r="P27" s="80" t="s">
        <v>332</v>
      </c>
      <c r="Q27" s="81" t="s">
        <v>385</v>
      </c>
      <c r="R27" s="19"/>
    </row>
    <row r="28" spans="1:18" ht="52" x14ac:dyDescent="0.3">
      <c r="A28" s="138" t="s">
        <v>386</v>
      </c>
      <c r="B28" s="76" t="s">
        <v>387</v>
      </c>
      <c r="C28" s="77" t="s">
        <v>388</v>
      </c>
      <c r="D28" s="78" t="s">
        <v>389</v>
      </c>
      <c r="E28" s="79" t="s">
        <v>389</v>
      </c>
      <c r="F28" s="80" t="s">
        <v>204</v>
      </c>
      <c r="G28" s="80" t="s">
        <v>204</v>
      </c>
      <c r="H28" s="80" t="s">
        <v>332</v>
      </c>
      <c r="I28" s="80" t="s">
        <v>204</v>
      </c>
      <c r="J28" s="80" t="s">
        <v>204</v>
      </c>
      <c r="K28" s="80" t="s">
        <v>204</v>
      </c>
      <c r="L28" s="80" t="s">
        <v>204</v>
      </c>
      <c r="M28" s="80" t="s">
        <v>204</v>
      </c>
      <c r="N28" s="80" t="s">
        <v>204</v>
      </c>
      <c r="O28" s="80" t="s">
        <v>204</v>
      </c>
      <c r="P28" s="80" t="s">
        <v>204</v>
      </c>
      <c r="Q28" s="81" t="s">
        <v>390</v>
      </c>
      <c r="R28" s="19"/>
    </row>
    <row r="29" spans="1:18" ht="39" x14ac:dyDescent="0.3">
      <c r="A29" s="154"/>
      <c r="B29" s="76" t="s">
        <v>391</v>
      </c>
      <c r="C29" s="77" t="s">
        <v>392</v>
      </c>
      <c r="D29" s="78" t="s">
        <v>389</v>
      </c>
      <c r="E29" s="79" t="s">
        <v>389</v>
      </c>
      <c r="F29" s="80" t="s">
        <v>204</v>
      </c>
      <c r="G29" s="80" t="s">
        <v>204</v>
      </c>
      <c r="H29" s="80" t="s">
        <v>332</v>
      </c>
      <c r="I29" s="80" t="s">
        <v>204</v>
      </c>
      <c r="J29" s="80" t="s">
        <v>204</v>
      </c>
      <c r="K29" s="80" t="s">
        <v>204</v>
      </c>
      <c r="L29" s="80" t="s">
        <v>204</v>
      </c>
      <c r="M29" s="80" t="s">
        <v>204</v>
      </c>
      <c r="N29" s="80" t="s">
        <v>204</v>
      </c>
      <c r="O29" s="80" t="s">
        <v>204</v>
      </c>
      <c r="P29" s="80" t="s">
        <v>204</v>
      </c>
      <c r="Q29" s="81" t="s">
        <v>393</v>
      </c>
      <c r="R29" s="19"/>
    </row>
    <row r="30" spans="1:18" ht="65" x14ac:dyDescent="0.3">
      <c r="A30" s="138" t="s">
        <v>394</v>
      </c>
      <c r="B30" s="76" t="s">
        <v>395</v>
      </c>
      <c r="C30" s="77">
        <v>7.2</v>
      </c>
      <c r="D30" s="78">
        <v>7.2</v>
      </c>
      <c r="E30" s="79">
        <v>7.2</v>
      </c>
      <c r="F30" s="80" t="s">
        <v>204</v>
      </c>
      <c r="G30" s="80" t="s">
        <v>204</v>
      </c>
      <c r="H30" s="80" t="s">
        <v>204</v>
      </c>
      <c r="I30" s="80" t="s">
        <v>204</v>
      </c>
      <c r="J30" s="80" t="s">
        <v>332</v>
      </c>
      <c r="K30" s="80" t="s">
        <v>204</v>
      </c>
      <c r="L30" s="80" t="s">
        <v>204</v>
      </c>
      <c r="M30" s="80" t="s">
        <v>204</v>
      </c>
      <c r="N30" s="80" t="s">
        <v>204</v>
      </c>
      <c r="O30" s="80" t="s">
        <v>204</v>
      </c>
      <c r="P30" s="80" t="s">
        <v>204</v>
      </c>
      <c r="Q30" s="81" t="s">
        <v>396</v>
      </c>
      <c r="R30" s="19"/>
    </row>
    <row r="31" spans="1:18" ht="52" x14ac:dyDescent="0.3">
      <c r="A31" s="154"/>
      <c r="B31" s="76" t="s">
        <v>397</v>
      </c>
      <c r="C31" s="77" t="s">
        <v>398</v>
      </c>
      <c r="D31" s="78" t="s">
        <v>204</v>
      </c>
      <c r="E31" s="79" t="s">
        <v>204</v>
      </c>
      <c r="F31" s="80" t="s">
        <v>204</v>
      </c>
      <c r="G31" s="80" t="s">
        <v>204</v>
      </c>
      <c r="H31" s="80" t="s">
        <v>204</v>
      </c>
      <c r="I31" s="80" t="s">
        <v>204</v>
      </c>
      <c r="J31" s="80" t="s">
        <v>332</v>
      </c>
      <c r="K31" s="80" t="s">
        <v>204</v>
      </c>
      <c r="L31" s="80" t="s">
        <v>204</v>
      </c>
      <c r="M31" s="80" t="s">
        <v>204</v>
      </c>
      <c r="N31" s="80" t="s">
        <v>204</v>
      </c>
      <c r="O31" s="80" t="s">
        <v>204</v>
      </c>
      <c r="P31" s="80" t="s">
        <v>204</v>
      </c>
      <c r="Q31" s="81" t="s">
        <v>399</v>
      </c>
      <c r="R31" s="19"/>
    </row>
    <row r="32" spans="1:18" ht="78" x14ac:dyDescent="0.3">
      <c r="A32" s="154"/>
      <c r="B32" s="76" t="s">
        <v>400</v>
      </c>
      <c r="C32" s="77">
        <v>7.2</v>
      </c>
      <c r="D32" s="78">
        <v>7.2</v>
      </c>
      <c r="E32" s="79">
        <v>7.2</v>
      </c>
      <c r="F32" s="80" t="s">
        <v>204</v>
      </c>
      <c r="G32" s="80" t="s">
        <v>204</v>
      </c>
      <c r="H32" s="80" t="s">
        <v>204</v>
      </c>
      <c r="I32" s="80" t="s">
        <v>204</v>
      </c>
      <c r="J32" s="80" t="s">
        <v>332</v>
      </c>
      <c r="K32" s="80" t="s">
        <v>204</v>
      </c>
      <c r="L32" s="80" t="s">
        <v>204</v>
      </c>
      <c r="M32" s="80" t="s">
        <v>204</v>
      </c>
      <c r="N32" s="80" t="s">
        <v>204</v>
      </c>
      <c r="O32" s="80" t="s">
        <v>204</v>
      </c>
      <c r="P32" s="80" t="s">
        <v>204</v>
      </c>
      <c r="Q32" s="81" t="s">
        <v>401</v>
      </c>
      <c r="R32" s="19"/>
    </row>
    <row r="33" spans="1:18" ht="39" x14ac:dyDescent="0.3">
      <c r="A33" s="139"/>
      <c r="B33" s="76" t="s">
        <v>402</v>
      </c>
      <c r="C33" s="77">
        <v>7.3</v>
      </c>
      <c r="D33" s="78">
        <v>7.3</v>
      </c>
      <c r="E33" s="79">
        <v>7.3</v>
      </c>
      <c r="F33" s="80" t="s">
        <v>332</v>
      </c>
      <c r="G33" s="80" t="s">
        <v>332</v>
      </c>
      <c r="H33" s="80" t="s">
        <v>332</v>
      </c>
      <c r="I33" s="80" t="s">
        <v>332</v>
      </c>
      <c r="J33" s="80" t="s">
        <v>332</v>
      </c>
      <c r="K33" s="80" t="s">
        <v>332</v>
      </c>
      <c r="L33" s="80" t="s">
        <v>332</v>
      </c>
      <c r="M33" s="80" t="s">
        <v>332</v>
      </c>
      <c r="N33" s="80" t="s">
        <v>332</v>
      </c>
      <c r="O33" s="80" t="s">
        <v>332</v>
      </c>
      <c r="P33" s="80" t="s">
        <v>332</v>
      </c>
      <c r="Q33" s="81" t="s">
        <v>403</v>
      </c>
      <c r="R33" s="19"/>
    </row>
    <row r="34" spans="1:18" ht="39" x14ac:dyDescent="0.3">
      <c r="A34" s="82" t="s">
        <v>404</v>
      </c>
      <c r="B34" s="76" t="s">
        <v>405</v>
      </c>
      <c r="C34" s="83" t="s">
        <v>392</v>
      </c>
      <c r="D34" s="84" t="s">
        <v>204</v>
      </c>
      <c r="E34" s="85" t="s">
        <v>204</v>
      </c>
      <c r="F34" s="86" t="s">
        <v>204</v>
      </c>
      <c r="G34" s="86" t="s">
        <v>204</v>
      </c>
      <c r="H34" s="86" t="s">
        <v>204</v>
      </c>
      <c r="I34" s="86" t="s">
        <v>204</v>
      </c>
      <c r="J34" s="86" t="s">
        <v>332</v>
      </c>
      <c r="K34" s="86" t="s">
        <v>204</v>
      </c>
      <c r="L34" s="86" t="s">
        <v>204</v>
      </c>
      <c r="M34" s="86" t="s">
        <v>204</v>
      </c>
      <c r="N34" s="86" t="s">
        <v>204</v>
      </c>
      <c r="O34" s="86" t="s">
        <v>204</v>
      </c>
      <c r="P34" s="86" t="s">
        <v>332</v>
      </c>
      <c r="Q34" s="81" t="s">
        <v>406</v>
      </c>
      <c r="R34" s="19"/>
    </row>
    <row r="35" spans="1:18" ht="65" x14ac:dyDescent="0.3">
      <c r="A35" s="138" t="s">
        <v>407</v>
      </c>
      <c r="B35" s="76" t="s">
        <v>408</v>
      </c>
      <c r="C35" s="83" t="s">
        <v>409</v>
      </c>
      <c r="D35" s="84" t="s">
        <v>409</v>
      </c>
      <c r="E35" s="85" t="s">
        <v>409</v>
      </c>
      <c r="F35" s="86" t="s">
        <v>332</v>
      </c>
      <c r="G35" s="86" t="s">
        <v>332</v>
      </c>
      <c r="H35" s="86" t="s">
        <v>332</v>
      </c>
      <c r="I35" s="86" t="s">
        <v>332</v>
      </c>
      <c r="J35" s="86" t="s">
        <v>332</v>
      </c>
      <c r="K35" s="86" t="s">
        <v>332</v>
      </c>
      <c r="L35" s="86" t="s">
        <v>332</v>
      </c>
      <c r="M35" s="86" t="s">
        <v>332</v>
      </c>
      <c r="N35" s="86" t="s">
        <v>332</v>
      </c>
      <c r="O35" s="86" t="s">
        <v>332</v>
      </c>
      <c r="P35" s="86" t="s">
        <v>332</v>
      </c>
      <c r="Q35" s="81" t="s">
        <v>410</v>
      </c>
      <c r="R35" s="19"/>
    </row>
    <row r="36" spans="1:18" ht="52" x14ac:dyDescent="0.3">
      <c r="A36" s="154"/>
      <c r="B36" s="76" t="s">
        <v>411</v>
      </c>
      <c r="C36" s="83" t="s">
        <v>409</v>
      </c>
      <c r="D36" s="84" t="s">
        <v>409</v>
      </c>
      <c r="E36" s="85" t="s">
        <v>409</v>
      </c>
      <c r="F36" s="86" t="s">
        <v>332</v>
      </c>
      <c r="G36" s="86" t="s">
        <v>332</v>
      </c>
      <c r="H36" s="86" t="s">
        <v>332</v>
      </c>
      <c r="I36" s="86" t="s">
        <v>332</v>
      </c>
      <c r="J36" s="86" t="s">
        <v>332</v>
      </c>
      <c r="K36" s="86" t="s">
        <v>332</v>
      </c>
      <c r="L36" s="86" t="s">
        <v>332</v>
      </c>
      <c r="M36" s="86" t="s">
        <v>332</v>
      </c>
      <c r="N36" s="86" t="s">
        <v>332</v>
      </c>
      <c r="O36" s="86" t="s">
        <v>332</v>
      </c>
      <c r="P36" s="86" t="s">
        <v>332</v>
      </c>
      <c r="Q36" s="81" t="s">
        <v>412</v>
      </c>
      <c r="R36" s="19"/>
    </row>
    <row r="37" spans="1:18" ht="65" x14ac:dyDescent="0.3">
      <c r="A37" s="154"/>
      <c r="B37" s="76" t="s">
        <v>413</v>
      </c>
      <c r="C37" s="83" t="s">
        <v>414</v>
      </c>
      <c r="D37" s="84" t="s">
        <v>414</v>
      </c>
      <c r="E37" s="85" t="s">
        <v>414</v>
      </c>
      <c r="F37" s="86" t="s">
        <v>332</v>
      </c>
      <c r="G37" s="86" t="s">
        <v>332</v>
      </c>
      <c r="H37" s="86" t="s">
        <v>332</v>
      </c>
      <c r="I37" s="86" t="s">
        <v>332</v>
      </c>
      <c r="J37" s="86" t="s">
        <v>332</v>
      </c>
      <c r="K37" s="86" t="s">
        <v>332</v>
      </c>
      <c r="L37" s="86" t="s">
        <v>332</v>
      </c>
      <c r="M37" s="86" t="s">
        <v>332</v>
      </c>
      <c r="N37" s="86" t="s">
        <v>332</v>
      </c>
      <c r="O37" s="86" t="s">
        <v>332</v>
      </c>
      <c r="P37" s="86" t="s">
        <v>332</v>
      </c>
      <c r="Q37" s="81" t="s">
        <v>415</v>
      </c>
      <c r="R37" s="19"/>
    </row>
    <row r="38" spans="1:18" ht="39" x14ac:dyDescent="0.3">
      <c r="A38" s="154"/>
      <c r="B38" s="76" t="s">
        <v>416</v>
      </c>
      <c r="C38" s="83" t="s">
        <v>414</v>
      </c>
      <c r="D38" s="84" t="s">
        <v>414</v>
      </c>
      <c r="E38" s="85" t="s">
        <v>414</v>
      </c>
      <c r="F38" s="86" t="s">
        <v>332</v>
      </c>
      <c r="G38" s="86" t="s">
        <v>332</v>
      </c>
      <c r="H38" s="86" t="s">
        <v>332</v>
      </c>
      <c r="I38" s="86" t="s">
        <v>332</v>
      </c>
      <c r="J38" s="86" t="s">
        <v>332</v>
      </c>
      <c r="K38" s="86" t="s">
        <v>332</v>
      </c>
      <c r="L38" s="86" t="s">
        <v>332</v>
      </c>
      <c r="M38" s="86" t="s">
        <v>332</v>
      </c>
      <c r="N38" s="86" t="s">
        <v>332</v>
      </c>
      <c r="O38" s="86" t="s">
        <v>332</v>
      </c>
      <c r="P38" s="86" t="s">
        <v>332</v>
      </c>
      <c r="Q38" s="81" t="s">
        <v>417</v>
      </c>
      <c r="R38" s="19"/>
    </row>
    <row r="39" spans="1:18" ht="52" x14ac:dyDescent="0.3">
      <c r="A39" s="139"/>
      <c r="B39" s="76" t="s">
        <v>418</v>
      </c>
      <c r="C39" s="83" t="s">
        <v>419</v>
      </c>
      <c r="D39" s="84" t="s">
        <v>419</v>
      </c>
      <c r="E39" s="85" t="s">
        <v>419</v>
      </c>
      <c r="F39" s="86" t="s">
        <v>204</v>
      </c>
      <c r="G39" s="86" t="s">
        <v>204</v>
      </c>
      <c r="H39" s="86" t="s">
        <v>204</v>
      </c>
      <c r="I39" s="86" t="s">
        <v>204</v>
      </c>
      <c r="J39" s="86" t="s">
        <v>204</v>
      </c>
      <c r="K39" s="86" t="s">
        <v>204</v>
      </c>
      <c r="L39" s="86" t="s">
        <v>204</v>
      </c>
      <c r="M39" s="86" t="s">
        <v>204</v>
      </c>
      <c r="N39" s="86" t="s">
        <v>204</v>
      </c>
      <c r="O39" s="86" t="s">
        <v>204</v>
      </c>
      <c r="P39" s="86" t="s">
        <v>332</v>
      </c>
      <c r="Q39" s="81" t="s">
        <v>420</v>
      </c>
      <c r="R39" s="19"/>
    </row>
    <row r="40" spans="1:18" ht="39" x14ac:dyDescent="0.3">
      <c r="A40" s="138" t="s">
        <v>421</v>
      </c>
      <c r="B40" s="76" t="s">
        <v>422</v>
      </c>
      <c r="C40" s="83">
        <v>8.1</v>
      </c>
      <c r="D40" s="84" t="s">
        <v>204</v>
      </c>
      <c r="E40" s="85" t="s">
        <v>204</v>
      </c>
      <c r="F40" s="86" t="s">
        <v>332</v>
      </c>
      <c r="G40" s="86" t="s">
        <v>332</v>
      </c>
      <c r="H40" s="86" t="s">
        <v>332</v>
      </c>
      <c r="I40" s="86" t="s">
        <v>332</v>
      </c>
      <c r="J40" s="86" t="s">
        <v>332</v>
      </c>
      <c r="K40" s="86" t="s">
        <v>332</v>
      </c>
      <c r="L40" s="86" t="s">
        <v>332</v>
      </c>
      <c r="M40" s="86" t="s">
        <v>332</v>
      </c>
      <c r="N40" s="86" t="s">
        <v>332</v>
      </c>
      <c r="O40" s="86" t="s">
        <v>332</v>
      </c>
      <c r="P40" s="86" t="s">
        <v>332</v>
      </c>
      <c r="Q40" s="81" t="s">
        <v>423</v>
      </c>
      <c r="R40" s="19"/>
    </row>
    <row r="41" spans="1:18" ht="65" x14ac:dyDescent="0.3">
      <c r="A41" s="154"/>
      <c r="B41" s="76" t="s">
        <v>424</v>
      </c>
      <c r="C41" s="83">
        <v>6.3</v>
      </c>
      <c r="D41" s="84" t="s">
        <v>204</v>
      </c>
      <c r="E41" s="85" t="s">
        <v>425</v>
      </c>
      <c r="F41" s="86" t="s">
        <v>332</v>
      </c>
      <c r="G41" s="86" t="s">
        <v>332</v>
      </c>
      <c r="H41" s="86" t="s">
        <v>332</v>
      </c>
      <c r="I41" s="86" t="s">
        <v>332</v>
      </c>
      <c r="J41" s="86" t="s">
        <v>332</v>
      </c>
      <c r="K41" s="86" t="s">
        <v>332</v>
      </c>
      <c r="L41" s="86" t="s">
        <v>332</v>
      </c>
      <c r="M41" s="86" t="s">
        <v>332</v>
      </c>
      <c r="N41" s="86" t="s">
        <v>332</v>
      </c>
      <c r="O41" s="86" t="s">
        <v>332</v>
      </c>
      <c r="P41" s="86" t="s">
        <v>332</v>
      </c>
      <c r="Q41" s="81" t="s">
        <v>426</v>
      </c>
      <c r="R41" s="19"/>
    </row>
    <row r="42" spans="1:18" ht="52" x14ac:dyDescent="0.3">
      <c r="A42" s="138" t="s">
        <v>427</v>
      </c>
      <c r="B42" s="76" t="s">
        <v>428</v>
      </c>
      <c r="C42" s="83" t="s">
        <v>429</v>
      </c>
      <c r="D42" s="84" t="s">
        <v>204</v>
      </c>
      <c r="E42" s="85" t="s">
        <v>204</v>
      </c>
      <c r="F42" s="86" t="s">
        <v>204</v>
      </c>
      <c r="G42" s="86" t="s">
        <v>204</v>
      </c>
      <c r="H42" s="86" t="s">
        <v>204</v>
      </c>
      <c r="I42" s="86" t="s">
        <v>204</v>
      </c>
      <c r="J42" s="86" t="s">
        <v>204</v>
      </c>
      <c r="K42" s="86" t="s">
        <v>332</v>
      </c>
      <c r="L42" s="86" t="s">
        <v>204</v>
      </c>
      <c r="M42" s="86" t="s">
        <v>204</v>
      </c>
      <c r="N42" s="86" t="s">
        <v>204</v>
      </c>
      <c r="O42" s="86" t="s">
        <v>332</v>
      </c>
      <c r="P42" s="86" t="s">
        <v>204</v>
      </c>
      <c r="Q42" s="81" t="s">
        <v>430</v>
      </c>
      <c r="R42" s="19"/>
    </row>
    <row r="43" spans="1:18" ht="39" x14ac:dyDescent="0.3">
      <c r="A43" s="154"/>
      <c r="B43" s="76" t="s">
        <v>431</v>
      </c>
      <c r="C43" s="83" t="s">
        <v>432</v>
      </c>
      <c r="D43" s="84" t="s">
        <v>204</v>
      </c>
      <c r="E43" s="85" t="s">
        <v>204</v>
      </c>
      <c r="F43" s="86" t="s">
        <v>204</v>
      </c>
      <c r="G43" s="86" t="s">
        <v>204</v>
      </c>
      <c r="H43" s="86" t="s">
        <v>204</v>
      </c>
      <c r="I43" s="86" t="s">
        <v>204</v>
      </c>
      <c r="J43" s="86" t="s">
        <v>204</v>
      </c>
      <c r="K43" s="86" t="s">
        <v>332</v>
      </c>
      <c r="L43" s="86" t="s">
        <v>204</v>
      </c>
      <c r="M43" s="86" t="s">
        <v>204</v>
      </c>
      <c r="N43" s="86" t="s">
        <v>204</v>
      </c>
      <c r="O43" s="86" t="s">
        <v>332</v>
      </c>
      <c r="P43" s="86" t="s">
        <v>204</v>
      </c>
      <c r="Q43" s="81" t="s">
        <v>433</v>
      </c>
      <c r="R43" s="19"/>
    </row>
    <row r="44" spans="1:18" ht="39" x14ac:dyDescent="0.3">
      <c r="A44" s="154"/>
      <c r="B44" s="76" t="s">
        <v>434</v>
      </c>
      <c r="C44" s="83" t="s">
        <v>435</v>
      </c>
      <c r="D44" s="84" t="s">
        <v>204</v>
      </c>
      <c r="E44" s="85" t="s">
        <v>204</v>
      </c>
      <c r="F44" s="86" t="s">
        <v>204</v>
      </c>
      <c r="G44" s="86" t="s">
        <v>204</v>
      </c>
      <c r="H44" s="86" t="s">
        <v>204</v>
      </c>
      <c r="I44" s="86" t="s">
        <v>204</v>
      </c>
      <c r="J44" s="86" t="s">
        <v>204</v>
      </c>
      <c r="K44" s="86" t="s">
        <v>332</v>
      </c>
      <c r="L44" s="86" t="s">
        <v>204</v>
      </c>
      <c r="M44" s="86" t="s">
        <v>204</v>
      </c>
      <c r="N44" s="86" t="s">
        <v>204</v>
      </c>
      <c r="O44" s="86" t="s">
        <v>332</v>
      </c>
      <c r="P44" s="86" t="s">
        <v>204</v>
      </c>
      <c r="Q44" s="81" t="s">
        <v>436</v>
      </c>
      <c r="R44" s="19"/>
    </row>
    <row r="45" spans="1:18" ht="26" x14ac:dyDescent="0.3">
      <c r="A45" s="154"/>
      <c r="B45" s="76" t="s">
        <v>437</v>
      </c>
      <c r="C45" s="83" t="s">
        <v>438</v>
      </c>
      <c r="D45" s="84" t="s">
        <v>204</v>
      </c>
      <c r="E45" s="85" t="s">
        <v>204</v>
      </c>
      <c r="F45" s="86" t="s">
        <v>204</v>
      </c>
      <c r="G45" s="86" t="s">
        <v>204</v>
      </c>
      <c r="H45" s="86" t="s">
        <v>204</v>
      </c>
      <c r="I45" s="86" t="s">
        <v>204</v>
      </c>
      <c r="J45" s="86" t="s">
        <v>204</v>
      </c>
      <c r="K45" s="86" t="s">
        <v>332</v>
      </c>
      <c r="L45" s="86" t="s">
        <v>204</v>
      </c>
      <c r="M45" s="86" t="s">
        <v>204</v>
      </c>
      <c r="N45" s="86" t="s">
        <v>204</v>
      </c>
      <c r="O45" s="86" t="s">
        <v>332</v>
      </c>
      <c r="P45" s="86" t="s">
        <v>204</v>
      </c>
      <c r="Q45" s="81" t="s">
        <v>439</v>
      </c>
      <c r="R45" s="19"/>
    </row>
    <row r="46" spans="1:18" ht="26" x14ac:dyDescent="0.3">
      <c r="A46" s="87" t="s">
        <v>440</v>
      </c>
      <c r="B46" s="76" t="s">
        <v>204</v>
      </c>
      <c r="C46" s="83" t="s">
        <v>204</v>
      </c>
      <c r="D46" s="84" t="s">
        <v>204</v>
      </c>
      <c r="E46" s="85" t="s">
        <v>204</v>
      </c>
      <c r="F46" s="86" t="s">
        <v>204</v>
      </c>
      <c r="G46" s="86" t="s">
        <v>204</v>
      </c>
      <c r="H46" s="86" t="s">
        <v>204</v>
      </c>
      <c r="I46" s="86" t="s">
        <v>204</v>
      </c>
      <c r="J46" s="86" t="s">
        <v>204</v>
      </c>
      <c r="K46" s="86" t="s">
        <v>204</v>
      </c>
      <c r="L46" s="86" t="s">
        <v>204</v>
      </c>
      <c r="M46" s="86" t="s">
        <v>204</v>
      </c>
      <c r="N46" s="86" t="s">
        <v>204</v>
      </c>
      <c r="O46" s="86" t="s">
        <v>204</v>
      </c>
      <c r="P46" s="86" t="s">
        <v>204</v>
      </c>
      <c r="Q46" s="81" t="s">
        <v>441</v>
      </c>
      <c r="R46" s="19"/>
    </row>
    <row r="47" spans="1:18" ht="78" x14ac:dyDescent="0.3">
      <c r="A47" s="138" t="s">
        <v>442</v>
      </c>
      <c r="B47" s="76" t="s">
        <v>443</v>
      </c>
      <c r="C47" s="83" t="s">
        <v>444</v>
      </c>
      <c r="D47" s="84" t="s">
        <v>204</v>
      </c>
      <c r="E47" s="85" t="s">
        <v>445</v>
      </c>
      <c r="F47" s="86" t="s">
        <v>204</v>
      </c>
      <c r="G47" s="86" t="s">
        <v>204</v>
      </c>
      <c r="H47" s="86" t="s">
        <v>204</v>
      </c>
      <c r="I47" s="86" t="s">
        <v>204</v>
      </c>
      <c r="J47" s="86" t="s">
        <v>204</v>
      </c>
      <c r="K47" s="86" t="s">
        <v>204</v>
      </c>
      <c r="L47" s="86" t="s">
        <v>204</v>
      </c>
      <c r="M47" s="86" t="s">
        <v>204</v>
      </c>
      <c r="N47" s="86" t="s">
        <v>332</v>
      </c>
      <c r="O47" s="86" t="s">
        <v>204</v>
      </c>
      <c r="P47" s="86" t="s">
        <v>204</v>
      </c>
      <c r="Q47" s="81" t="s">
        <v>446</v>
      </c>
      <c r="R47" s="19"/>
    </row>
    <row r="48" spans="1:18" ht="52" x14ac:dyDescent="0.3">
      <c r="A48" s="154"/>
      <c r="B48" s="76" t="s">
        <v>447</v>
      </c>
      <c r="C48" s="83" t="s">
        <v>444</v>
      </c>
      <c r="D48" s="84" t="s">
        <v>204</v>
      </c>
      <c r="E48" s="85" t="s">
        <v>445</v>
      </c>
      <c r="F48" s="86" t="s">
        <v>204</v>
      </c>
      <c r="G48" s="86" t="s">
        <v>204</v>
      </c>
      <c r="H48" s="86" t="s">
        <v>204</v>
      </c>
      <c r="I48" s="86" t="s">
        <v>204</v>
      </c>
      <c r="J48" s="86" t="s">
        <v>204</v>
      </c>
      <c r="K48" s="86" t="s">
        <v>204</v>
      </c>
      <c r="L48" s="86" t="s">
        <v>204</v>
      </c>
      <c r="M48" s="86" t="s">
        <v>204</v>
      </c>
      <c r="N48" s="86" t="s">
        <v>332</v>
      </c>
      <c r="O48" s="86" t="s">
        <v>204</v>
      </c>
      <c r="P48" s="86" t="s">
        <v>204</v>
      </c>
      <c r="Q48" s="81" t="s">
        <v>448</v>
      </c>
      <c r="R48" s="19"/>
    </row>
    <row r="49" spans="1:18" ht="39" x14ac:dyDescent="0.3">
      <c r="A49" s="139"/>
      <c r="B49" s="76" t="s">
        <v>449</v>
      </c>
      <c r="C49" s="83" t="s">
        <v>450</v>
      </c>
      <c r="D49" s="84" t="s">
        <v>204</v>
      </c>
      <c r="E49" s="85" t="s">
        <v>445</v>
      </c>
      <c r="F49" s="86" t="s">
        <v>204</v>
      </c>
      <c r="G49" s="86" t="s">
        <v>204</v>
      </c>
      <c r="H49" s="86" t="s">
        <v>204</v>
      </c>
      <c r="I49" s="86" t="s">
        <v>204</v>
      </c>
      <c r="J49" s="86" t="s">
        <v>204</v>
      </c>
      <c r="K49" s="86" t="s">
        <v>204</v>
      </c>
      <c r="L49" s="86" t="s">
        <v>204</v>
      </c>
      <c r="M49" s="86" t="s">
        <v>204</v>
      </c>
      <c r="N49" s="86" t="s">
        <v>332</v>
      </c>
      <c r="O49" s="86" t="s">
        <v>204</v>
      </c>
      <c r="P49" s="86" t="s">
        <v>204</v>
      </c>
      <c r="Q49" s="81" t="s">
        <v>451</v>
      </c>
      <c r="R49" s="19"/>
    </row>
    <row r="50" spans="1:18" ht="65" x14ac:dyDescent="0.3">
      <c r="A50" s="138" t="s">
        <v>452</v>
      </c>
      <c r="B50" s="76" t="s">
        <v>453</v>
      </c>
      <c r="C50" s="83" t="s">
        <v>204</v>
      </c>
      <c r="D50" s="84">
        <v>8.1</v>
      </c>
      <c r="E50" s="85">
        <v>8.1</v>
      </c>
      <c r="F50" s="86" t="s">
        <v>332</v>
      </c>
      <c r="G50" s="86" t="s">
        <v>332</v>
      </c>
      <c r="H50" s="86" t="s">
        <v>332</v>
      </c>
      <c r="I50" s="86" t="s">
        <v>332</v>
      </c>
      <c r="J50" s="86" t="s">
        <v>332</v>
      </c>
      <c r="K50" s="86" t="s">
        <v>332</v>
      </c>
      <c r="L50" s="86" t="s">
        <v>332</v>
      </c>
      <c r="M50" s="86" t="s">
        <v>332</v>
      </c>
      <c r="N50" s="86" t="s">
        <v>204</v>
      </c>
      <c r="O50" s="86" t="s">
        <v>332</v>
      </c>
      <c r="P50" s="86" t="s">
        <v>204</v>
      </c>
      <c r="Q50" s="81" t="s">
        <v>454</v>
      </c>
      <c r="R50" s="19"/>
    </row>
    <row r="51" spans="1:18" ht="78" x14ac:dyDescent="0.3">
      <c r="A51" s="154"/>
      <c r="B51" s="76" t="s">
        <v>455</v>
      </c>
      <c r="C51" s="83" t="s">
        <v>204</v>
      </c>
      <c r="D51" s="84">
        <v>8.1</v>
      </c>
      <c r="E51" s="85">
        <v>8.1</v>
      </c>
      <c r="F51" s="86" t="s">
        <v>332</v>
      </c>
      <c r="G51" s="86" t="s">
        <v>332</v>
      </c>
      <c r="H51" s="86" t="s">
        <v>332</v>
      </c>
      <c r="I51" s="86" t="s">
        <v>332</v>
      </c>
      <c r="J51" s="86" t="s">
        <v>204</v>
      </c>
      <c r="K51" s="86" t="s">
        <v>204</v>
      </c>
      <c r="L51" s="86" t="s">
        <v>332</v>
      </c>
      <c r="M51" s="86" t="s">
        <v>332</v>
      </c>
      <c r="N51" s="86" t="s">
        <v>204</v>
      </c>
      <c r="O51" s="86" t="s">
        <v>204</v>
      </c>
      <c r="P51" s="86" t="s">
        <v>204</v>
      </c>
      <c r="Q51" s="81" t="s">
        <v>456</v>
      </c>
      <c r="R51" s="19"/>
    </row>
    <row r="52" spans="1:18" ht="91" x14ac:dyDescent="0.3">
      <c r="A52" s="154"/>
      <c r="B52" s="76" t="s">
        <v>457</v>
      </c>
      <c r="C52" s="83" t="s">
        <v>458</v>
      </c>
      <c r="D52" s="84">
        <v>8.1</v>
      </c>
      <c r="E52" s="85">
        <v>8.1</v>
      </c>
      <c r="F52" s="86" t="s">
        <v>332</v>
      </c>
      <c r="G52" s="86" t="s">
        <v>332</v>
      </c>
      <c r="H52" s="86" t="s">
        <v>332</v>
      </c>
      <c r="I52" s="86" t="s">
        <v>332</v>
      </c>
      <c r="J52" s="86" t="s">
        <v>332</v>
      </c>
      <c r="K52" s="86" t="s">
        <v>332</v>
      </c>
      <c r="L52" s="86" t="s">
        <v>332</v>
      </c>
      <c r="M52" s="86" t="s">
        <v>332</v>
      </c>
      <c r="N52" s="86" t="s">
        <v>204</v>
      </c>
      <c r="O52" s="86" t="s">
        <v>332</v>
      </c>
      <c r="P52" s="86" t="s">
        <v>204</v>
      </c>
      <c r="Q52" s="81" t="s">
        <v>459</v>
      </c>
      <c r="R52" s="19"/>
    </row>
    <row r="53" spans="1:18" ht="52" x14ac:dyDescent="0.3">
      <c r="A53" s="139"/>
      <c r="B53" s="76" t="s">
        <v>460</v>
      </c>
      <c r="C53" s="83" t="s">
        <v>458</v>
      </c>
      <c r="D53" s="84">
        <v>8.1</v>
      </c>
      <c r="E53" s="85">
        <v>8.1</v>
      </c>
      <c r="F53" s="86" t="s">
        <v>332</v>
      </c>
      <c r="G53" s="86" t="s">
        <v>332</v>
      </c>
      <c r="H53" s="86" t="s">
        <v>332</v>
      </c>
      <c r="I53" s="86" t="s">
        <v>332</v>
      </c>
      <c r="J53" s="86" t="s">
        <v>332</v>
      </c>
      <c r="K53" s="86" t="s">
        <v>332</v>
      </c>
      <c r="L53" s="86" t="s">
        <v>332</v>
      </c>
      <c r="M53" s="86" t="s">
        <v>332</v>
      </c>
      <c r="N53" s="86" t="s">
        <v>204</v>
      </c>
      <c r="O53" s="86" t="s">
        <v>332</v>
      </c>
      <c r="P53" s="86" t="s">
        <v>204</v>
      </c>
      <c r="Q53" s="81" t="s">
        <v>461</v>
      </c>
      <c r="R53" s="19"/>
    </row>
    <row r="54" spans="1:18" ht="52" x14ac:dyDescent="0.3">
      <c r="A54" s="138" t="s">
        <v>462</v>
      </c>
      <c r="B54" s="76" t="s">
        <v>463</v>
      </c>
      <c r="C54" s="83" t="s">
        <v>204</v>
      </c>
      <c r="D54" s="84" t="s">
        <v>464</v>
      </c>
      <c r="E54" s="85" t="s">
        <v>464</v>
      </c>
      <c r="F54" s="86" t="s">
        <v>204</v>
      </c>
      <c r="G54" s="86" t="s">
        <v>204</v>
      </c>
      <c r="H54" s="86" t="s">
        <v>204</v>
      </c>
      <c r="I54" s="86" t="s">
        <v>204</v>
      </c>
      <c r="J54" s="86" t="s">
        <v>204</v>
      </c>
      <c r="K54" s="86" t="s">
        <v>204</v>
      </c>
      <c r="L54" s="86" t="s">
        <v>332</v>
      </c>
      <c r="M54" s="86" t="s">
        <v>204</v>
      </c>
      <c r="N54" s="86" t="s">
        <v>204</v>
      </c>
      <c r="O54" s="86" t="s">
        <v>204</v>
      </c>
      <c r="P54" s="86" t="s">
        <v>332</v>
      </c>
      <c r="Q54" s="81" t="s">
        <v>465</v>
      </c>
      <c r="R54" s="19"/>
    </row>
    <row r="55" spans="1:18" ht="39" x14ac:dyDescent="0.3">
      <c r="A55" s="154"/>
      <c r="B55" s="76" t="s">
        <v>466</v>
      </c>
      <c r="C55" s="83" t="s">
        <v>204</v>
      </c>
      <c r="D55" s="84" t="s">
        <v>464</v>
      </c>
      <c r="E55" s="85" t="s">
        <v>464</v>
      </c>
      <c r="F55" s="86" t="s">
        <v>204</v>
      </c>
      <c r="G55" s="86" t="s">
        <v>204</v>
      </c>
      <c r="H55" s="86" t="s">
        <v>204</v>
      </c>
      <c r="I55" s="86" t="s">
        <v>204</v>
      </c>
      <c r="J55" s="86" t="s">
        <v>204</v>
      </c>
      <c r="K55" s="86" t="s">
        <v>204</v>
      </c>
      <c r="L55" s="86" t="s">
        <v>332</v>
      </c>
      <c r="M55" s="86" t="s">
        <v>204</v>
      </c>
      <c r="N55" s="86" t="s">
        <v>204</v>
      </c>
      <c r="O55" s="86" t="s">
        <v>204</v>
      </c>
      <c r="P55" s="86" t="s">
        <v>332</v>
      </c>
      <c r="Q55" s="81" t="s">
        <v>467</v>
      </c>
      <c r="R55" s="19"/>
    </row>
    <row r="56" spans="1:18" ht="26" x14ac:dyDescent="0.3">
      <c r="A56" s="139"/>
      <c r="B56" s="76" t="s">
        <v>468</v>
      </c>
      <c r="C56" s="83" t="s">
        <v>204</v>
      </c>
      <c r="D56" s="84" t="s">
        <v>464</v>
      </c>
      <c r="E56" s="85" t="s">
        <v>464</v>
      </c>
      <c r="F56" s="86" t="s">
        <v>204</v>
      </c>
      <c r="G56" s="86" t="s">
        <v>204</v>
      </c>
      <c r="H56" s="86" t="s">
        <v>204</v>
      </c>
      <c r="I56" s="86" t="s">
        <v>204</v>
      </c>
      <c r="J56" s="86" t="s">
        <v>204</v>
      </c>
      <c r="K56" s="86" t="s">
        <v>204</v>
      </c>
      <c r="L56" s="86" t="s">
        <v>332</v>
      </c>
      <c r="M56" s="86" t="s">
        <v>204</v>
      </c>
      <c r="N56" s="86" t="s">
        <v>204</v>
      </c>
      <c r="O56" s="86" t="s">
        <v>204</v>
      </c>
      <c r="P56" s="86" t="s">
        <v>332</v>
      </c>
      <c r="Q56" s="81" t="s">
        <v>469</v>
      </c>
      <c r="R56" s="19"/>
    </row>
    <row r="57" spans="1:18" ht="52" x14ac:dyDescent="0.3">
      <c r="A57" s="138" t="s">
        <v>470</v>
      </c>
      <c r="B57" s="76" t="s">
        <v>471</v>
      </c>
      <c r="C57" s="83" t="s">
        <v>464</v>
      </c>
      <c r="D57" s="84" t="s">
        <v>204</v>
      </c>
      <c r="E57" s="85" t="s">
        <v>204</v>
      </c>
      <c r="F57" s="86" t="s">
        <v>204</v>
      </c>
      <c r="G57" s="86" t="s">
        <v>204</v>
      </c>
      <c r="H57" s="86" t="s">
        <v>204</v>
      </c>
      <c r="I57" s="86" t="s">
        <v>204</v>
      </c>
      <c r="J57" s="86" t="s">
        <v>204</v>
      </c>
      <c r="K57" s="86" t="s">
        <v>204</v>
      </c>
      <c r="L57" s="86" t="s">
        <v>204</v>
      </c>
      <c r="M57" s="86" t="s">
        <v>332</v>
      </c>
      <c r="N57" s="86" t="s">
        <v>204</v>
      </c>
      <c r="O57" s="86" t="s">
        <v>332</v>
      </c>
      <c r="P57" s="86" t="s">
        <v>204</v>
      </c>
      <c r="Q57" s="81" t="s">
        <v>472</v>
      </c>
      <c r="R57" s="19"/>
    </row>
    <row r="58" spans="1:18" ht="39" x14ac:dyDescent="0.3">
      <c r="A58" s="154"/>
      <c r="B58" s="76" t="s">
        <v>473</v>
      </c>
      <c r="C58" s="83" t="s">
        <v>464</v>
      </c>
      <c r="D58" s="84" t="s">
        <v>204</v>
      </c>
      <c r="E58" s="85" t="s">
        <v>204</v>
      </c>
      <c r="F58" s="86" t="s">
        <v>204</v>
      </c>
      <c r="G58" s="86" t="s">
        <v>204</v>
      </c>
      <c r="H58" s="86" t="s">
        <v>204</v>
      </c>
      <c r="I58" s="86" t="s">
        <v>204</v>
      </c>
      <c r="J58" s="86" t="s">
        <v>204</v>
      </c>
      <c r="K58" s="86" t="s">
        <v>204</v>
      </c>
      <c r="L58" s="86" t="s">
        <v>204</v>
      </c>
      <c r="M58" s="86" t="s">
        <v>332</v>
      </c>
      <c r="N58" s="86" t="s">
        <v>204</v>
      </c>
      <c r="O58" s="86" t="s">
        <v>332</v>
      </c>
      <c r="P58" s="86" t="s">
        <v>204</v>
      </c>
      <c r="Q58" s="81" t="s">
        <v>474</v>
      </c>
      <c r="R58" s="19"/>
    </row>
    <row r="59" spans="1:18" ht="39" x14ac:dyDescent="0.3">
      <c r="A59" s="88" t="s">
        <v>475</v>
      </c>
      <c r="B59" s="76" t="s">
        <v>476</v>
      </c>
      <c r="C59" s="83" t="s">
        <v>477</v>
      </c>
      <c r="D59" s="84" t="s">
        <v>204</v>
      </c>
      <c r="E59" s="85" t="s">
        <v>204</v>
      </c>
      <c r="F59" s="86" t="s">
        <v>332</v>
      </c>
      <c r="G59" s="86" t="s">
        <v>332</v>
      </c>
      <c r="H59" s="86" t="s">
        <v>204</v>
      </c>
      <c r="I59" s="86" t="s">
        <v>204</v>
      </c>
      <c r="J59" s="86" t="s">
        <v>204</v>
      </c>
      <c r="K59" s="86" t="s">
        <v>204</v>
      </c>
      <c r="L59" s="86" t="s">
        <v>204</v>
      </c>
      <c r="M59" s="86" t="s">
        <v>204</v>
      </c>
      <c r="N59" s="86" t="s">
        <v>204</v>
      </c>
      <c r="O59" s="86" t="s">
        <v>332</v>
      </c>
      <c r="P59" s="86" t="s">
        <v>204</v>
      </c>
      <c r="Q59" s="81" t="s">
        <v>478</v>
      </c>
      <c r="R59" s="19"/>
    </row>
    <row r="60" spans="1:18" ht="65" x14ac:dyDescent="0.3">
      <c r="A60" s="87" t="s">
        <v>479</v>
      </c>
      <c r="B60" s="76" t="s">
        <v>480</v>
      </c>
      <c r="C60" s="83" t="s">
        <v>481</v>
      </c>
      <c r="D60" s="84" t="s">
        <v>204</v>
      </c>
      <c r="E60" s="85" t="s">
        <v>204</v>
      </c>
      <c r="F60" s="86" t="s">
        <v>332</v>
      </c>
      <c r="G60" s="86" t="s">
        <v>332</v>
      </c>
      <c r="H60" s="86" t="s">
        <v>332</v>
      </c>
      <c r="I60" s="86" t="s">
        <v>332</v>
      </c>
      <c r="J60" s="86" t="s">
        <v>204</v>
      </c>
      <c r="K60" s="86" t="s">
        <v>204</v>
      </c>
      <c r="L60" s="86" t="s">
        <v>204</v>
      </c>
      <c r="M60" s="86" t="s">
        <v>332</v>
      </c>
      <c r="N60" s="86" t="s">
        <v>204</v>
      </c>
      <c r="O60" s="86" t="s">
        <v>332</v>
      </c>
      <c r="P60" s="86" t="s">
        <v>204</v>
      </c>
      <c r="Q60" s="81" t="s">
        <v>482</v>
      </c>
      <c r="R60" s="19"/>
    </row>
    <row r="61" spans="1:18" ht="65" x14ac:dyDescent="0.3">
      <c r="A61" s="87" t="s">
        <v>483</v>
      </c>
      <c r="B61" s="76" t="s">
        <v>484</v>
      </c>
      <c r="C61" s="83" t="s">
        <v>435</v>
      </c>
      <c r="D61" s="84" t="s">
        <v>204</v>
      </c>
      <c r="E61" s="85" t="s">
        <v>204</v>
      </c>
      <c r="F61" s="86" t="s">
        <v>332</v>
      </c>
      <c r="G61" s="86" t="s">
        <v>332</v>
      </c>
      <c r="H61" s="86" t="s">
        <v>332</v>
      </c>
      <c r="I61" s="86" t="s">
        <v>332</v>
      </c>
      <c r="J61" s="86" t="s">
        <v>204</v>
      </c>
      <c r="K61" s="86" t="s">
        <v>332</v>
      </c>
      <c r="L61" s="86" t="s">
        <v>204</v>
      </c>
      <c r="M61" s="86" t="s">
        <v>204</v>
      </c>
      <c r="N61" s="86" t="s">
        <v>204</v>
      </c>
      <c r="O61" s="86" t="s">
        <v>332</v>
      </c>
      <c r="P61" s="86" t="s">
        <v>332</v>
      </c>
      <c r="Q61" s="81" t="s">
        <v>485</v>
      </c>
      <c r="R61" s="19"/>
    </row>
    <row r="62" spans="1:18" ht="117" x14ac:dyDescent="0.3">
      <c r="A62" s="87" t="s">
        <v>486</v>
      </c>
      <c r="B62" s="76" t="s">
        <v>487</v>
      </c>
      <c r="C62" s="83">
        <v>8.6</v>
      </c>
      <c r="D62" s="84" t="s">
        <v>204</v>
      </c>
      <c r="E62" s="85" t="s">
        <v>204</v>
      </c>
      <c r="F62" s="86" t="s">
        <v>332</v>
      </c>
      <c r="G62" s="86" t="s">
        <v>332</v>
      </c>
      <c r="H62" s="86" t="s">
        <v>332</v>
      </c>
      <c r="I62" s="86" t="s">
        <v>332</v>
      </c>
      <c r="J62" s="86" t="s">
        <v>332</v>
      </c>
      <c r="K62" s="86" t="s">
        <v>204</v>
      </c>
      <c r="L62" s="86" t="s">
        <v>204</v>
      </c>
      <c r="M62" s="86" t="s">
        <v>332</v>
      </c>
      <c r="N62" s="86" t="s">
        <v>204</v>
      </c>
      <c r="O62" s="86" t="s">
        <v>332</v>
      </c>
      <c r="P62" s="86" t="s">
        <v>204</v>
      </c>
      <c r="Q62" s="81" t="s">
        <v>488</v>
      </c>
      <c r="R62" s="19"/>
    </row>
    <row r="63" spans="1:18" ht="52" x14ac:dyDescent="0.3">
      <c r="A63" s="88" t="s">
        <v>489</v>
      </c>
      <c r="B63" s="76" t="s">
        <v>490</v>
      </c>
      <c r="C63" s="83">
        <v>9.1</v>
      </c>
      <c r="D63" s="84">
        <v>9.1</v>
      </c>
      <c r="E63" s="85">
        <v>9.1</v>
      </c>
      <c r="F63" s="86" t="s">
        <v>332</v>
      </c>
      <c r="G63" s="86" t="s">
        <v>332</v>
      </c>
      <c r="H63" s="86" t="s">
        <v>332</v>
      </c>
      <c r="I63" s="86" t="s">
        <v>332</v>
      </c>
      <c r="J63" s="86" t="s">
        <v>332</v>
      </c>
      <c r="K63" s="86" t="s">
        <v>332</v>
      </c>
      <c r="L63" s="86" t="s">
        <v>332</v>
      </c>
      <c r="M63" s="86" t="s">
        <v>332</v>
      </c>
      <c r="N63" s="86" t="s">
        <v>332</v>
      </c>
      <c r="O63" s="86" t="s">
        <v>332</v>
      </c>
      <c r="P63" s="86" t="s">
        <v>332</v>
      </c>
      <c r="Q63" s="81" t="s">
        <v>491</v>
      </c>
      <c r="R63" s="19"/>
    </row>
    <row r="64" spans="1:18" ht="26" x14ac:dyDescent="0.3">
      <c r="A64" s="88" t="s">
        <v>492</v>
      </c>
      <c r="B64" s="76" t="s">
        <v>493</v>
      </c>
      <c r="C64" s="83" t="s">
        <v>375</v>
      </c>
      <c r="D64" s="84" t="s">
        <v>204</v>
      </c>
      <c r="E64" s="85" t="s">
        <v>204</v>
      </c>
      <c r="F64" s="86" t="s">
        <v>204</v>
      </c>
      <c r="G64" s="86" t="s">
        <v>204</v>
      </c>
      <c r="H64" s="86" t="s">
        <v>204</v>
      </c>
      <c r="I64" s="86" t="s">
        <v>204</v>
      </c>
      <c r="J64" s="86" t="s">
        <v>204</v>
      </c>
      <c r="K64" s="86" t="s">
        <v>332</v>
      </c>
      <c r="L64" s="86" t="s">
        <v>204</v>
      </c>
      <c r="M64" s="86" t="s">
        <v>204</v>
      </c>
      <c r="N64" s="86" t="s">
        <v>204</v>
      </c>
      <c r="O64" s="86" t="s">
        <v>332</v>
      </c>
      <c r="P64" s="86" t="s">
        <v>204</v>
      </c>
      <c r="Q64" s="81" t="s">
        <v>494</v>
      </c>
      <c r="R64" s="19"/>
    </row>
    <row r="65" spans="1:18" ht="39" x14ac:dyDescent="0.3">
      <c r="A65" s="88" t="s">
        <v>495</v>
      </c>
      <c r="B65" s="76" t="s">
        <v>496</v>
      </c>
      <c r="C65" s="83" t="s">
        <v>204</v>
      </c>
      <c r="D65" s="84" t="s">
        <v>375</v>
      </c>
      <c r="E65" s="85" t="s">
        <v>375</v>
      </c>
      <c r="F65" s="86" t="s">
        <v>204</v>
      </c>
      <c r="G65" s="86" t="s">
        <v>204</v>
      </c>
      <c r="H65" s="86" t="s">
        <v>204</v>
      </c>
      <c r="I65" s="86" t="s">
        <v>204</v>
      </c>
      <c r="J65" s="86" t="s">
        <v>204</v>
      </c>
      <c r="K65" s="86" t="s">
        <v>204</v>
      </c>
      <c r="L65" s="86" t="s">
        <v>332</v>
      </c>
      <c r="M65" s="86" t="s">
        <v>204</v>
      </c>
      <c r="N65" s="86" t="s">
        <v>204</v>
      </c>
      <c r="O65" s="86" t="s">
        <v>332</v>
      </c>
      <c r="P65" s="86" t="s">
        <v>332</v>
      </c>
      <c r="Q65" s="81" t="s">
        <v>497</v>
      </c>
      <c r="R65" s="19"/>
    </row>
    <row r="66" spans="1:18" ht="65" x14ac:dyDescent="0.3">
      <c r="A66" s="88" t="s">
        <v>498</v>
      </c>
      <c r="B66" s="76" t="s">
        <v>490</v>
      </c>
      <c r="C66" s="83" t="s">
        <v>499</v>
      </c>
      <c r="D66" s="84" t="s">
        <v>204</v>
      </c>
      <c r="E66" s="85" t="s">
        <v>204</v>
      </c>
      <c r="F66" s="86" t="s">
        <v>332</v>
      </c>
      <c r="G66" s="86" t="s">
        <v>332</v>
      </c>
      <c r="H66" s="86" t="s">
        <v>332</v>
      </c>
      <c r="I66" s="86" t="s">
        <v>332</v>
      </c>
      <c r="J66" s="86" t="s">
        <v>332</v>
      </c>
      <c r="K66" s="86" t="s">
        <v>332</v>
      </c>
      <c r="L66" s="86" t="s">
        <v>332</v>
      </c>
      <c r="M66" s="86" t="s">
        <v>332</v>
      </c>
      <c r="N66" s="86" t="s">
        <v>332</v>
      </c>
      <c r="O66" s="86" t="s">
        <v>332</v>
      </c>
      <c r="P66" s="86" t="s">
        <v>332</v>
      </c>
      <c r="Q66" s="81" t="s">
        <v>500</v>
      </c>
      <c r="R66" s="19"/>
    </row>
    <row r="67" spans="1:18" ht="26" x14ac:dyDescent="0.3">
      <c r="A67" s="88" t="s">
        <v>501</v>
      </c>
      <c r="B67" s="76" t="s">
        <v>502</v>
      </c>
      <c r="C67" s="83" t="s">
        <v>438</v>
      </c>
      <c r="D67" s="84" t="s">
        <v>438</v>
      </c>
      <c r="E67" s="85" t="s">
        <v>438</v>
      </c>
      <c r="F67" s="86" t="s">
        <v>204</v>
      </c>
      <c r="G67" s="86" t="s">
        <v>204</v>
      </c>
      <c r="H67" s="86" t="s">
        <v>204</v>
      </c>
      <c r="I67" s="86" t="s">
        <v>204</v>
      </c>
      <c r="J67" s="86" t="s">
        <v>204</v>
      </c>
      <c r="K67" s="86" t="s">
        <v>204</v>
      </c>
      <c r="L67" s="86" t="s">
        <v>204</v>
      </c>
      <c r="M67" s="86" t="s">
        <v>204</v>
      </c>
      <c r="N67" s="86" t="s">
        <v>204</v>
      </c>
      <c r="O67" s="86" t="s">
        <v>204</v>
      </c>
      <c r="P67" s="86" t="s">
        <v>332</v>
      </c>
      <c r="Q67" s="81" t="s">
        <v>503</v>
      </c>
      <c r="R67" s="19"/>
    </row>
    <row r="68" spans="1:18" ht="52" x14ac:dyDescent="0.3">
      <c r="A68" s="88" t="s">
        <v>504</v>
      </c>
      <c r="B68" s="76" t="s">
        <v>505</v>
      </c>
      <c r="C68" s="83" t="s">
        <v>506</v>
      </c>
      <c r="D68" s="84" t="s">
        <v>506</v>
      </c>
      <c r="E68" s="85" t="s">
        <v>506</v>
      </c>
      <c r="F68" s="86" t="s">
        <v>332</v>
      </c>
      <c r="G68" s="86" t="s">
        <v>332</v>
      </c>
      <c r="H68" s="86" t="s">
        <v>332</v>
      </c>
      <c r="I68" s="86" t="s">
        <v>332</v>
      </c>
      <c r="J68" s="86" t="s">
        <v>332</v>
      </c>
      <c r="K68" s="86" t="s">
        <v>332</v>
      </c>
      <c r="L68" s="86" t="s">
        <v>332</v>
      </c>
      <c r="M68" s="86" t="s">
        <v>204</v>
      </c>
      <c r="N68" s="86" t="s">
        <v>204</v>
      </c>
      <c r="O68" s="86" t="s">
        <v>332</v>
      </c>
      <c r="P68" s="86" t="s">
        <v>332</v>
      </c>
      <c r="Q68" s="81" t="s">
        <v>503</v>
      </c>
      <c r="R68" s="19"/>
    </row>
    <row r="69" spans="1:18" ht="26" x14ac:dyDescent="0.3">
      <c r="A69" s="88" t="s">
        <v>507</v>
      </c>
      <c r="B69" s="76" t="s">
        <v>508</v>
      </c>
      <c r="C69" s="83">
        <v>9.3000000000000007</v>
      </c>
      <c r="D69" s="84">
        <v>9.3000000000000007</v>
      </c>
      <c r="E69" s="85">
        <v>9.3000000000000007</v>
      </c>
      <c r="F69" s="86" t="s">
        <v>204</v>
      </c>
      <c r="G69" s="86" t="s">
        <v>204</v>
      </c>
      <c r="H69" s="86" t="s">
        <v>204</v>
      </c>
      <c r="I69" s="86" t="s">
        <v>204</v>
      </c>
      <c r="J69" s="86" t="s">
        <v>204</v>
      </c>
      <c r="K69" s="86" t="s">
        <v>204</v>
      </c>
      <c r="L69" s="86" t="s">
        <v>204</v>
      </c>
      <c r="M69" s="86" t="s">
        <v>204</v>
      </c>
      <c r="N69" s="86" t="s">
        <v>204</v>
      </c>
      <c r="O69" s="86" t="s">
        <v>332</v>
      </c>
      <c r="P69" s="86" t="s">
        <v>332</v>
      </c>
      <c r="Q69" s="81" t="s">
        <v>509</v>
      </c>
      <c r="R69" s="19"/>
    </row>
    <row r="70" spans="1:18" ht="26" x14ac:dyDescent="0.3">
      <c r="A70" s="88" t="s">
        <v>510</v>
      </c>
      <c r="B70" s="76" t="s">
        <v>508</v>
      </c>
      <c r="C70" s="83" t="s">
        <v>511</v>
      </c>
      <c r="D70" s="84" t="s">
        <v>204</v>
      </c>
      <c r="E70" s="85" t="s">
        <v>204</v>
      </c>
      <c r="F70" s="86" t="s">
        <v>204</v>
      </c>
      <c r="G70" s="86" t="s">
        <v>204</v>
      </c>
      <c r="H70" s="86" t="s">
        <v>204</v>
      </c>
      <c r="I70" s="86" t="s">
        <v>204</v>
      </c>
      <c r="J70" s="86" t="s">
        <v>204</v>
      </c>
      <c r="K70" s="86" t="s">
        <v>204</v>
      </c>
      <c r="L70" s="86" t="s">
        <v>204</v>
      </c>
      <c r="M70" s="86" t="s">
        <v>204</v>
      </c>
      <c r="N70" s="86" t="s">
        <v>204</v>
      </c>
      <c r="O70" s="86" t="s">
        <v>332</v>
      </c>
      <c r="P70" s="86" t="s">
        <v>332</v>
      </c>
      <c r="Q70" s="81" t="s">
        <v>509</v>
      </c>
      <c r="R70" s="19"/>
    </row>
    <row r="71" spans="1:18" ht="26" x14ac:dyDescent="0.3">
      <c r="A71" s="88" t="s">
        <v>512</v>
      </c>
      <c r="B71" s="76" t="s">
        <v>508</v>
      </c>
      <c r="C71" s="83" t="s">
        <v>513</v>
      </c>
      <c r="D71" s="84" t="s">
        <v>204</v>
      </c>
      <c r="E71" s="85" t="s">
        <v>204</v>
      </c>
      <c r="F71" s="86" t="s">
        <v>204</v>
      </c>
      <c r="G71" s="86" t="s">
        <v>204</v>
      </c>
      <c r="H71" s="86" t="s">
        <v>204</v>
      </c>
      <c r="I71" s="86" t="s">
        <v>204</v>
      </c>
      <c r="J71" s="86" t="s">
        <v>204</v>
      </c>
      <c r="K71" s="86" t="s">
        <v>204</v>
      </c>
      <c r="L71" s="86" t="s">
        <v>204</v>
      </c>
      <c r="M71" s="86" t="s">
        <v>204</v>
      </c>
      <c r="N71" s="86" t="s">
        <v>204</v>
      </c>
      <c r="O71" s="86" t="s">
        <v>332</v>
      </c>
      <c r="P71" s="86" t="s">
        <v>332</v>
      </c>
      <c r="Q71" s="81" t="s">
        <v>509</v>
      </c>
      <c r="R71" s="19"/>
    </row>
    <row r="72" spans="1:18" ht="26" x14ac:dyDescent="0.3">
      <c r="A72" s="88" t="s">
        <v>514</v>
      </c>
      <c r="B72" s="76" t="s">
        <v>508</v>
      </c>
      <c r="C72" s="83" t="s">
        <v>515</v>
      </c>
      <c r="D72" s="84" t="s">
        <v>204</v>
      </c>
      <c r="E72" s="85" t="s">
        <v>204</v>
      </c>
      <c r="F72" s="86" t="s">
        <v>204</v>
      </c>
      <c r="G72" s="86" t="s">
        <v>204</v>
      </c>
      <c r="H72" s="86" t="s">
        <v>204</v>
      </c>
      <c r="I72" s="86" t="s">
        <v>204</v>
      </c>
      <c r="J72" s="86" t="s">
        <v>204</v>
      </c>
      <c r="K72" s="86" t="s">
        <v>204</v>
      </c>
      <c r="L72" s="86" t="s">
        <v>204</v>
      </c>
      <c r="M72" s="86" t="s">
        <v>204</v>
      </c>
      <c r="N72" s="86" t="s">
        <v>204</v>
      </c>
      <c r="O72" s="86" t="s">
        <v>332</v>
      </c>
      <c r="P72" s="86" t="s">
        <v>332</v>
      </c>
      <c r="Q72" s="81" t="s">
        <v>509</v>
      </c>
      <c r="R72" s="19"/>
    </row>
    <row r="73" spans="1:18" ht="39" x14ac:dyDescent="0.3">
      <c r="A73" s="88" t="s">
        <v>516</v>
      </c>
      <c r="B73" s="76" t="s">
        <v>517</v>
      </c>
      <c r="C73" s="83">
        <v>10.1</v>
      </c>
      <c r="D73" s="84">
        <v>10.1</v>
      </c>
      <c r="E73" s="85">
        <v>10.1</v>
      </c>
      <c r="F73" s="86" t="s">
        <v>332</v>
      </c>
      <c r="G73" s="86" t="s">
        <v>332</v>
      </c>
      <c r="H73" s="86" t="s">
        <v>332</v>
      </c>
      <c r="I73" s="86" t="s">
        <v>332</v>
      </c>
      <c r="J73" s="86" t="s">
        <v>332</v>
      </c>
      <c r="K73" s="86" t="s">
        <v>332</v>
      </c>
      <c r="L73" s="86" t="s">
        <v>332</v>
      </c>
      <c r="M73" s="86" t="s">
        <v>332</v>
      </c>
      <c r="N73" s="86" t="s">
        <v>332</v>
      </c>
      <c r="O73" s="86" t="s">
        <v>332</v>
      </c>
      <c r="P73" s="86" t="s">
        <v>332</v>
      </c>
      <c r="Q73" s="81" t="s">
        <v>518</v>
      </c>
      <c r="R73" s="19"/>
    </row>
    <row r="74" spans="1:18" ht="39" x14ac:dyDescent="0.3">
      <c r="A74" s="88" t="s">
        <v>519</v>
      </c>
      <c r="B74" s="76" t="s">
        <v>520</v>
      </c>
      <c r="C74" s="83" t="s">
        <v>204</v>
      </c>
      <c r="D74" s="84" t="s">
        <v>204</v>
      </c>
      <c r="E74" s="85">
        <v>10.199999999999999</v>
      </c>
      <c r="F74" s="86" t="s">
        <v>332</v>
      </c>
      <c r="G74" s="86" t="s">
        <v>332</v>
      </c>
      <c r="H74" s="86" t="s">
        <v>332</v>
      </c>
      <c r="I74" s="86" t="s">
        <v>332</v>
      </c>
      <c r="J74" s="86" t="s">
        <v>332</v>
      </c>
      <c r="K74" s="86" t="s">
        <v>332</v>
      </c>
      <c r="L74" s="86" t="s">
        <v>332</v>
      </c>
      <c r="M74" s="86" t="s">
        <v>204</v>
      </c>
      <c r="N74" s="86" t="s">
        <v>204</v>
      </c>
      <c r="O74" s="86" t="s">
        <v>332</v>
      </c>
      <c r="P74" s="86" t="s">
        <v>332</v>
      </c>
      <c r="Q74" s="81" t="s">
        <v>521</v>
      </c>
      <c r="R74" s="19"/>
    </row>
    <row r="75" spans="1:18" ht="26" x14ac:dyDescent="0.3">
      <c r="A75" s="88" t="s">
        <v>522</v>
      </c>
      <c r="B75" s="76" t="s">
        <v>523</v>
      </c>
      <c r="C75" s="83">
        <v>10.199999999999999</v>
      </c>
      <c r="D75" s="84">
        <v>10.199999999999999</v>
      </c>
      <c r="E75" s="85">
        <v>10.199999999999999</v>
      </c>
      <c r="F75" s="86" t="s">
        <v>332</v>
      </c>
      <c r="G75" s="86" t="s">
        <v>332</v>
      </c>
      <c r="H75" s="86" t="s">
        <v>332</v>
      </c>
      <c r="I75" s="86" t="s">
        <v>332</v>
      </c>
      <c r="J75" s="86" t="s">
        <v>332</v>
      </c>
      <c r="K75" s="86" t="s">
        <v>332</v>
      </c>
      <c r="L75" s="86" t="s">
        <v>332</v>
      </c>
      <c r="M75" s="86" t="s">
        <v>204</v>
      </c>
      <c r="N75" s="86" t="s">
        <v>204</v>
      </c>
      <c r="O75" s="86" t="s">
        <v>332</v>
      </c>
      <c r="P75" s="86" t="s">
        <v>332</v>
      </c>
      <c r="Q75" s="81" t="s">
        <v>524</v>
      </c>
      <c r="R75" s="19"/>
    </row>
    <row r="76" spans="1:18" ht="26.5" thickBot="1" x14ac:dyDescent="0.35">
      <c r="A76" s="88" t="s">
        <v>525</v>
      </c>
      <c r="B76" s="89" t="s">
        <v>517</v>
      </c>
      <c r="C76" s="90">
        <v>10.3</v>
      </c>
      <c r="D76" s="91">
        <v>10.3</v>
      </c>
      <c r="E76" s="92" t="s">
        <v>204</v>
      </c>
      <c r="F76" s="93" t="s">
        <v>332</v>
      </c>
      <c r="G76" s="93" t="s">
        <v>332</v>
      </c>
      <c r="H76" s="93" t="s">
        <v>332</v>
      </c>
      <c r="I76" s="93" t="s">
        <v>332</v>
      </c>
      <c r="J76" s="93" t="s">
        <v>332</v>
      </c>
      <c r="K76" s="93" t="s">
        <v>332</v>
      </c>
      <c r="L76" s="93" t="s">
        <v>332</v>
      </c>
      <c r="M76" s="93" t="s">
        <v>204</v>
      </c>
      <c r="N76" s="93" t="s">
        <v>204</v>
      </c>
      <c r="O76" s="93" t="s">
        <v>332</v>
      </c>
      <c r="P76" s="93" t="s">
        <v>332</v>
      </c>
      <c r="Q76" s="94" t="s">
        <v>526</v>
      </c>
      <c r="R76" s="20"/>
    </row>
  </sheetData>
  <sheetProtection password="87D6" sheet="1" objects="1" scenarios="1" formatColumns="0" formatRows="0" sort="0" autoFilter="0"/>
  <protectedRanges>
    <protectedRange password="BD35" sqref="Q1:XFD3 S4:U4 J2:L3 A1:H3 M1:P3" name="Range1"/>
  </protectedRanges>
  <mergeCells count="29">
    <mergeCell ref="A57:A58"/>
    <mergeCell ref="A30:A33"/>
    <mergeCell ref="A35:A39"/>
    <mergeCell ref="A40:A41"/>
    <mergeCell ref="A42:A45"/>
    <mergeCell ref="A47:A49"/>
    <mergeCell ref="A50:A53"/>
    <mergeCell ref="A13:A16"/>
    <mergeCell ref="A17:A19"/>
    <mergeCell ref="A20:A22"/>
    <mergeCell ref="A25:A27"/>
    <mergeCell ref="A54:A56"/>
    <mergeCell ref="A28:A29"/>
    <mergeCell ref="P1:R1"/>
    <mergeCell ref="P2:R2"/>
    <mergeCell ref="P3:R3"/>
    <mergeCell ref="A1:O3"/>
    <mergeCell ref="A23:A24"/>
    <mergeCell ref="D4:F4"/>
    <mergeCell ref="F5:P5"/>
    <mergeCell ref="Q5:R5"/>
    <mergeCell ref="A7:A9"/>
    <mergeCell ref="A10:A12"/>
    <mergeCell ref="A4:C4"/>
    <mergeCell ref="P4:R4"/>
    <mergeCell ref="K4:O4"/>
    <mergeCell ref="G4:J4"/>
    <mergeCell ref="A5:B5"/>
    <mergeCell ref="C5:E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Building</vt:lpstr>
      <vt:lpstr>Document - Reference</vt:lpstr>
      <vt:lpstr>Building!Print_Area</vt:lpstr>
      <vt:lpstr>Building!Print_Titles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2025-11-12T06:06:35Z</dcterms:modified>
</cp:coreProperties>
</file>