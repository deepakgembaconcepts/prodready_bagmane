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B+RE" sheetId="1" r:id="rId4"/>
    <sheet state="visible" name="DG" sheetId="2" r:id="rId5"/>
    <sheet state="visible" name="Water" sheetId="3" r:id="rId6"/>
    <sheet state="visible" name="VVTL" sheetId="4" r:id="rId7"/>
  </sheets>
  <definedNames/>
  <calcPr/>
  <extLst>
    <ext uri="GoogleSheetsCustomDataVersion2">
      <go:sheetsCustomData xmlns:go="http://customooxmlschemas.google.com/" r:id="rId8" roundtripDataChecksum="Ntx5mA4r+4VothB+NrINlRoC9ovOSFSW9j0ry6QFXGY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94">
      <text>
        <t xml:space="preserve">======
ID#AAABwj-77lk
Author    (2025-11-24 09:40:37)
274125-Hike in demand</t>
      </text>
    </comment>
  </commentList>
  <extLst>
    <ext uri="GoogleSheetsCustomDataVersion2">
      <go:sheetsCustomData xmlns:go="http://customooxmlschemas.google.com/" r:id="rId1" roundtripDataSignature="AMtx7mj6R45jgLz9OpLdebkmcvBJdb4aqw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49">
      <text>
        <t xml:space="preserve">======
ID#AAABwj-77lo
Author    (2025-11-24 09:40:37)
274125-Hike in demand</t>
      </text>
    </comment>
  </commentList>
  <extLst>
    <ext uri="GoogleSheetsCustomDataVersion2">
      <go:sheetsCustomData xmlns:go="http://customooxmlschemas.google.com/" r:id="rId1" roundtripDataSignature="AMtx7mg9LG6cTe10ToE6954d7FgwHokYzg=="/>
    </ext>
  </extLst>
</comments>
</file>

<file path=xl/sharedStrings.xml><?xml version="1.0" encoding="utf-8"?>
<sst xmlns="http://schemas.openxmlformats.org/spreadsheetml/2006/main" count="147" uniqueCount="103">
  <si>
    <t>S7HT121</t>
  </si>
  <si>
    <t>Units</t>
  </si>
  <si>
    <t>Rate</t>
  </si>
  <si>
    <t>Amount</t>
  </si>
  <si>
    <t>Opening Reading (kwh) - A</t>
  </si>
  <si>
    <t>Closing Reading (kwh) - B</t>
  </si>
  <si>
    <t>Difference (B-A)</t>
  </si>
  <si>
    <t>Meter Constant</t>
  </si>
  <si>
    <t>Total consumption</t>
  </si>
  <si>
    <t>Wheeled units-BDPL</t>
  </si>
  <si>
    <t>Bescom units</t>
  </si>
  <si>
    <t>Billed demand in KVA</t>
  </si>
  <si>
    <t>Demand Cost/Kva</t>
  </si>
  <si>
    <t>Total Demand Cost</t>
  </si>
  <si>
    <t>Net Consumption in Kwh</t>
  </si>
  <si>
    <t>Cost/Kwh</t>
  </si>
  <si>
    <t>Total Energy Cost</t>
  </si>
  <si>
    <t>TOD(Time of Day)</t>
  </si>
  <si>
    <t>C1 Morning Peak</t>
  </si>
  <si>
    <t>Opening Reading</t>
  </si>
  <si>
    <t>Closing Reading</t>
  </si>
  <si>
    <t>Difference</t>
  </si>
  <si>
    <t>C1 Morning Peak Consumption</t>
  </si>
  <si>
    <t>C2 Normal</t>
  </si>
  <si>
    <t>C2 Normal Peak Consumption</t>
  </si>
  <si>
    <t>C3 On Peak</t>
  </si>
  <si>
    <t>C3 ON Peak Consumption</t>
  </si>
  <si>
    <t>C4 Off Peak</t>
  </si>
  <si>
    <t>C4 OFF Peak Consumption</t>
  </si>
  <si>
    <t>Energy (Morning Peak) kwh</t>
  </si>
  <si>
    <t>Morning Peak Cost/Kwh</t>
  </si>
  <si>
    <t>Energy (Normal) in Kwh</t>
  </si>
  <si>
    <t>Normal peak cost/kwh</t>
  </si>
  <si>
    <t>Energy (ON peak) in Kwh</t>
  </si>
  <si>
    <t>ON peak cost/Kwh</t>
  </si>
  <si>
    <t>Energy (OFF peak) in Kwh</t>
  </si>
  <si>
    <t>OFF peak cost/Kwh</t>
  </si>
  <si>
    <t>Total TOD Consumption kwh</t>
  </si>
  <si>
    <t>Total Cost for TOD Consumption</t>
  </si>
  <si>
    <t>Fuel Cost Adjustment - FCA units (Kwh)</t>
  </si>
  <si>
    <t>FCA - Cost/unit</t>
  </si>
  <si>
    <t>Total Cost on FCA</t>
  </si>
  <si>
    <t>P&amp;G units (kwh)</t>
  </si>
  <si>
    <t>P&amp;G - Cost/unit</t>
  </si>
  <si>
    <t>Total Cost on P&amp;G</t>
  </si>
  <si>
    <t>Interest on Revenue</t>
  </si>
  <si>
    <t>Interest on Tax</t>
  </si>
  <si>
    <t>Tax (in %)</t>
  </si>
  <si>
    <t>Tax amount</t>
  </si>
  <si>
    <t>Current bill amount</t>
  </si>
  <si>
    <t>Arrears</t>
  </si>
  <si>
    <t>Bill correction</t>
  </si>
  <si>
    <t>TDS deduction</t>
  </si>
  <si>
    <t>Manual tax(%) on wheeled energy</t>
  </si>
  <si>
    <t>Manual tax amount on wheeled energy</t>
  </si>
  <si>
    <t>Mannual additional surcharge units</t>
  </si>
  <si>
    <t>Mannual additional surcharge cost per unit</t>
  </si>
  <si>
    <t>Manual additional Surcharge Cost</t>
  </si>
  <si>
    <t>Manual CSS Rate</t>
  </si>
  <si>
    <t>Manual CSS Amount</t>
  </si>
  <si>
    <t>Manual JV adjustment</t>
  </si>
  <si>
    <t>Interest on MSD</t>
  </si>
  <si>
    <t>Interest on ISD/ASD</t>
  </si>
  <si>
    <t>TDS on IOD</t>
  </si>
  <si>
    <t>Net payable amount</t>
  </si>
  <si>
    <t>Wheeled energy units</t>
  </si>
  <si>
    <t>To be filled in(Mandatory)</t>
  </si>
  <si>
    <t>Cost/unit</t>
  </si>
  <si>
    <t>Energy Charges for the wheeled units</t>
  </si>
  <si>
    <t>Manual tax on wheeled energy</t>
  </si>
  <si>
    <t>Formulae involved</t>
  </si>
  <si>
    <t>Mannual additional surcharge</t>
  </si>
  <si>
    <t>FAC short claim-If any</t>
  </si>
  <si>
    <t xml:space="preserve">Energy Charges </t>
  </si>
  <si>
    <t>Eergy Charges/ Unit</t>
  </si>
  <si>
    <t>Open</t>
  </si>
  <si>
    <t>Close</t>
  </si>
  <si>
    <t>Cons</t>
  </si>
  <si>
    <t>C1</t>
  </si>
  <si>
    <t>C2</t>
  </si>
  <si>
    <t>C3</t>
  </si>
  <si>
    <t>C4</t>
  </si>
  <si>
    <t>Wheel</t>
  </si>
  <si>
    <t>Cons.</t>
  </si>
  <si>
    <t>EB</t>
  </si>
  <si>
    <t>Demand charges 315 KVA @ 365 per KVA</t>
  </si>
  <si>
    <t>Bill</t>
  </si>
  <si>
    <t>Energy charges for 554 kWh at 5.95 per kWh</t>
  </si>
  <si>
    <t>Energy charges for MOR peak</t>
  </si>
  <si>
    <t>Energy charges for ON peak</t>
  </si>
  <si>
    <t>Energy charges for OFF peak</t>
  </si>
  <si>
    <t xml:space="preserve">Fuel cost adj Charges </t>
  </si>
  <si>
    <t>z</t>
  </si>
  <si>
    <t>P&amp;G surcharges</t>
  </si>
  <si>
    <t>PF surcharge</t>
  </si>
  <si>
    <t>Tax</t>
  </si>
  <si>
    <t>Manual CSS</t>
  </si>
  <si>
    <t>FAC short claim-May 2023</t>
  </si>
  <si>
    <t>Bagmane Tax Summary</t>
  </si>
  <si>
    <t>Particular</t>
  </si>
  <si>
    <t>Unit</t>
  </si>
  <si>
    <t>Unit Rate</t>
  </si>
  <si>
    <t>Manual Tax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</si>
</sst>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 * #,##0_ ;_ * \-#,##0_ ;_ * &quot;-&quot;??_ ;_ @_ "/>
    <numFmt numFmtId="165" formatCode="_ * #,##0.00_ ;_ * \-#,##0.00_ ;_ * &quot;-&quot;??_ ;_ @_ "/>
    <numFmt numFmtId="166" formatCode="_ * #,##0.000_ ;_ * \-#,##0.000_ ;_ * &quot;-&quot;??_ ;_ @_ "/>
  </numFmts>
  <fonts count="6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/>
    <font>
      <color theme="1"/>
      <name val="Calibri"/>
      <scheme val="minor"/>
    </font>
    <font>
      <sz val="11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C4BD97"/>
        <bgColor rgb="FFC4BD97"/>
      </patternFill>
    </fill>
    <fill>
      <patternFill patternType="solid">
        <fgColor rgb="FF92D050"/>
        <bgColor rgb="FF92D050"/>
      </patternFill>
    </fill>
    <fill>
      <patternFill patternType="solid">
        <fgColor theme="0"/>
        <bgColor theme="0"/>
      </patternFill>
    </fill>
    <fill>
      <patternFill patternType="solid">
        <fgColor rgb="FF92CDDC"/>
        <bgColor rgb="FF92CDDC"/>
      </patternFill>
    </fill>
    <fill>
      <patternFill patternType="solid">
        <fgColor rgb="FFC6D9F0"/>
        <bgColor rgb="FFC6D9F0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Border="1" applyFont="1"/>
    <xf borderId="1" fillId="0" fontId="2" numFmtId="0" xfId="0" applyAlignment="1" applyBorder="1" applyFont="1">
      <alignment horizontal="center" vertical="center"/>
    </xf>
    <xf borderId="1" fillId="2" fontId="2" numFmtId="0" xfId="0" applyBorder="1" applyFill="1" applyFont="1"/>
    <xf borderId="1" fillId="3" fontId="2" numFmtId="0" xfId="0" applyBorder="1" applyFill="1" applyFont="1"/>
    <xf borderId="1" fillId="3" fontId="2" numFmtId="164" xfId="0" applyBorder="1" applyFont="1" applyNumberFormat="1"/>
    <xf borderId="1" fillId="4" fontId="2" numFmtId="0" xfId="0" applyAlignment="1" applyBorder="1" applyFill="1" applyFont="1">
      <alignment horizontal="center" vertical="center"/>
    </xf>
    <xf borderId="1" fillId="2" fontId="2" numFmtId="164" xfId="0" applyBorder="1" applyFont="1" applyNumberFormat="1"/>
    <xf borderId="1" fillId="0" fontId="2" numFmtId="165" xfId="0" applyBorder="1" applyFont="1" applyNumberFormat="1"/>
    <xf borderId="1" fillId="0" fontId="2" numFmtId="1" xfId="0" applyBorder="1" applyFont="1" applyNumberFormat="1"/>
    <xf borderId="0" fillId="0" fontId="2" numFmtId="0" xfId="0" applyFont="1"/>
    <xf borderId="0" fillId="0" fontId="2" numFmtId="0" xfId="0" applyAlignment="1" applyFont="1">
      <alignment horizontal="center" vertical="center"/>
    </xf>
    <xf borderId="0" fillId="0" fontId="2" numFmtId="1" xfId="0" applyFont="1" applyNumberFormat="1"/>
    <xf borderId="1" fillId="3" fontId="2" numFmtId="165" xfId="0" applyBorder="1" applyFont="1" applyNumberFormat="1"/>
    <xf borderId="2" fillId="0" fontId="2" numFmtId="0" xfId="0" applyAlignment="1" applyBorder="1" applyFont="1">
      <alignment horizontal="center"/>
    </xf>
    <xf borderId="3" fillId="0" fontId="3" numFmtId="0" xfId="0" applyBorder="1" applyFont="1"/>
    <xf borderId="4" fillId="0" fontId="3" numFmtId="0" xfId="0" applyBorder="1" applyFont="1"/>
    <xf borderId="2" fillId="0" fontId="1" numFmtId="0" xfId="0" applyAlignment="1" applyBorder="1" applyFont="1">
      <alignment horizontal="center"/>
    </xf>
    <xf borderId="5" fillId="2" fontId="2" numFmtId="0" xfId="0" applyAlignment="1" applyBorder="1" applyFont="1">
      <alignment horizontal="center"/>
    </xf>
    <xf borderId="3" fillId="0" fontId="2" numFmtId="0" xfId="0" applyAlignment="1" applyBorder="1" applyFont="1">
      <alignment horizontal="center"/>
    </xf>
    <xf borderId="4" fillId="0" fontId="2" numFmtId="0" xfId="0" applyAlignment="1" applyBorder="1" applyFont="1">
      <alignment horizontal="center"/>
    </xf>
    <xf borderId="5" fillId="3" fontId="2" numFmtId="0" xfId="0" applyAlignment="1" applyBorder="1" applyFont="1">
      <alignment horizontal="center"/>
    </xf>
    <xf borderId="1" fillId="3" fontId="2" numFmtId="4" xfId="0" applyBorder="1" applyFont="1" applyNumberFormat="1"/>
    <xf borderId="1" fillId="2" fontId="2" numFmtId="4" xfId="0" applyBorder="1" applyFont="1" applyNumberFormat="1"/>
    <xf borderId="1" fillId="5" fontId="2" numFmtId="0" xfId="0" applyBorder="1" applyFill="1" applyFont="1"/>
    <xf borderId="1" fillId="5" fontId="2" numFmtId="165" xfId="0" applyBorder="1" applyFont="1" applyNumberFormat="1"/>
    <xf borderId="1" fillId="2" fontId="2" numFmtId="9" xfId="0" applyBorder="1" applyFont="1" applyNumberFormat="1"/>
    <xf borderId="0" fillId="0" fontId="2" numFmtId="165" xfId="0" applyFont="1" applyNumberFormat="1"/>
    <xf borderId="1" fillId="3" fontId="2" numFmtId="2" xfId="0" applyBorder="1" applyFont="1" applyNumberFormat="1"/>
    <xf borderId="1" fillId="0" fontId="2" numFmtId="9" xfId="0" applyBorder="1" applyFont="1" applyNumberFormat="1"/>
    <xf borderId="1" fillId="2" fontId="2" numFmtId="165" xfId="0" applyBorder="1" applyFont="1" applyNumberFormat="1"/>
    <xf borderId="0" fillId="0" fontId="2" numFmtId="9" xfId="0" applyFont="1" applyNumberFormat="1"/>
    <xf borderId="0" fillId="0" fontId="2" numFmtId="10" xfId="0" applyFont="1" applyNumberFormat="1"/>
    <xf borderId="1" fillId="5" fontId="1" numFmtId="164" xfId="0" applyBorder="1" applyFont="1" applyNumberFormat="1"/>
    <xf borderId="6" fillId="5" fontId="2" numFmtId="165" xfId="0" applyAlignment="1" applyBorder="1" applyFont="1" applyNumberFormat="1">
      <alignment horizontal="center" vertical="center"/>
    </xf>
    <xf borderId="6" fillId="5" fontId="2" numFmtId="165" xfId="0" applyBorder="1" applyFont="1" applyNumberFormat="1"/>
    <xf borderId="6" fillId="5" fontId="2" numFmtId="0" xfId="0" applyBorder="1" applyFont="1"/>
    <xf borderId="7" fillId="3" fontId="2" numFmtId="164" xfId="0" applyBorder="1" applyFont="1" applyNumberFormat="1"/>
    <xf borderId="8" fillId="0" fontId="2" numFmtId="165" xfId="0" applyBorder="1" applyFont="1" applyNumberFormat="1"/>
    <xf borderId="0" fillId="0" fontId="2" numFmtId="165" xfId="0" applyAlignment="1" applyFont="1" applyNumberFormat="1">
      <alignment horizontal="center" vertical="center"/>
    </xf>
    <xf borderId="6" fillId="2" fontId="2" numFmtId="165" xfId="0" applyBorder="1" applyFont="1" applyNumberFormat="1"/>
    <xf borderId="0" fillId="0" fontId="4" numFmtId="0" xfId="0" applyFont="1"/>
    <xf borderId="7" fillId="2" fontId="2" numFmtId="165" xfId="0" applyBorder="1" applyFont="1" applyNumberFormat="1"/>
    <xf borderId="1" fillId="0" fontId="5" numFmtId="0" xfId="0" applyBorder="1" applyFont="1"/>
    <xf borderId="7" fillId="3" fontId="2" numFmtId="165" xfId="0" applyBorder="1" applyFont="1" applyNumberFormat="1"/>
    <xf borderId="6" fillId="3" fontId="2" numFmtId="0" xfId="0" applyBorder="1" applyFont="1"/>
    <xf borderId="7" fillId="2" fontId="2" numFmtId="164" xfId="0" applyBorder="1" applyFont="1" applyNumberFormat="1"/>
    <xf borderId="1" fillId="0" fontId="1" numFmtId="0" xfId="0" applyBorder="1" applyFont="1"/>
    <xf borderId="1" fillId="0" fontId="1" numFmtId="165" xfId="0" applyBorder="1" applyFont="1" applyNumberFormat="1"/>
    <xf borderId="1" fillId="5" fontId="1" numFmtId="0" xfId="0" applyBorder="1" applyFont="1"/>
    <xf borderId="1" fillId="3" fontId="1" numFmtId="0" xfId="0" applyBorder="1" applyFont="1"/>
    <xf borderId="1" fillId="5" fontId="1" numFmtId="165" xfId="0" applyBorder="1" applyFont="1" applyNumberFormat="1"/>
    <xf borderId="0" fillId="0" fontId="2" numFmtId="166" xfId="0" applyFont="1" applyNumberFormat="1"/>
    <xf borderId="1" fillId="0" fontId="2" numFmtId="164" xfId="0" applyBorder="1" applyFont="1" applyNumberFormat="1"/>
    <xf borderId="1" fillId="6" fontId="2" numFmtId="0" xfId="0" applyAlignment="1" applyBorder="1" applyFill="1" applyFont="1">
      <alignment horizontal="center" vertical="center"/>
    </xf>
    <xf borderId="1" fillId="0" fontId="2" numFmtId="0" xfId="0" applyAlignment="1" applyBorder="1" applyFont="1">
      <alignment horizontal="center"/>
    </xf>
    <xf borderId="1" fillId="0" fontId="2" numFmtId="4" xfId="0" applyBorder="1" applyFont="1" applyNumberFormat="1"/>
    <xf borderId="1" fillId="7" fontId="1" numFmtId="164" xfId="0" applyBorder="1" applyFill="1" applyFont="1" applyNumberFormat="1"/>
    <xf borderId="9" fillId="0" fontId="2" numFmtId="0" xfId="0" applyBorder="1" applyFont="1"/>
    <xf borderId="8" fillId="0" fontId="2" numFmtId="164" xfId="0" applyBorder="1" applyFont="1" applyNumberFormat="1"/>
    <xf borderId="1" fillId="7" fontId="1" numFmtId="0" xfId="0" applyBorder="1" applyFont="1"/>
    <xf borderId="1" fillId="7" fontId="1" numFmtId="165" xfId="0" applyBorder="1" applyFont="1" applyNumberFormat="1"/>
    <xf borderId="2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1" fillId="0" fontId="2" numFmtId="9" xfId="0" applyAlignment="1" applyBorder="1" applyFont="1" applyNumberFormat="1">
      <alignment horizontal="center" vertical="center"/>
    </xf>
    <xf borderId="1" fillId="0" fontId="2" numFmtId="165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1.29"/>
    <col customWidth="1" min="2" max="2" width="12.57"/>
    <col customWidth="1" min="3" max="3" width="11.57"/>
    <col customWidth="1" min="4" max="4" width="15.43"/>
    <col customWidth="1" min="5" max="5" width="15.86"/>
    <col customWidth="1" min="6" max="6" width="14.29"/>
    <col customWidth="1" min="7" max="7" width="15.0"/>
    <col customWidth="1" min="8" max="8" width="40.57"/>
    <col customWidth="1" min="9" max="26" width="8.71"/>
  </cols>
  <sheetData>
    <row r="1" ht="14.25" customHeight="1">
      <c r="A1" s="1" t="s">
        <v>0</v>
      </c>
    </row>
    <row r="2" ht="14.25" customHeight="1">
      <c r="A2" s="2"/>
      <c r="B2" s="2" t="s">
        <v>1</v>
      </c>
      <c r="C2" s="2" t="s">
        <v>2</v>
      </c>
      <c r="D2" s="2" t="s">
        <v>3</v>
      </c>
      <c r="F2" s="3"/>
      <c r="G2" s="3"/>
      <c r="H2" s="3"/>
      <c r="I2" s="2"/>
      <c r="J2" s="3"/>
      <c r="K2" s="3"/>
      <c r="L2" s="3"/>
      <c r="M2" s="3"/>
      <c r="N2" s="3"/>
    </row>
    <row r="3" ht="14.25" customHeight="1">
      <c r="A3" s="2" t="s">
        <v>4</v>
      </c>
      <c r="B3" s="4"/>
      <c r="C3" s="2"/>
      <c r="D3" s="2"/>
      <c r="F3" s="3"/>
      <c r="G3" s="3"/>
      <c r="H3" s="3"/>
      <c r="I3" s="2"/>
      <c r="J3" s="3"/>
      <c r="K3" s="3"/>
      <c r="L3" s="3"/>
      <c r="M3" s="3"/>
      <c r="N3" s="3"/>
    </row>
    <row r="4" ht="14.25" customHeight="1">
      <c r="A4" s="2" t="s">
        <v>5</v>
      </c>
      <c r="B4" s="4"/>
      <c r="C4" s="2"/>
      <c r="D4" s="2"/>
      <c r="F4" s="3"/>
      <c r="G4" s="3"/>
      <c r="H4" s="3"/>
      <c r="I4" s="2"/>
      <c r="J4" s="3"/>
      <c r="K4" s="3"/>
      <c r="L4" s="3"/>
      <c r="M4" s="3"/>
      <c r="N4" s="3"/>
    </row>
    <row r="5" ht="14.25" customHeight="1">
      <c r="A5" s="2" t="s">
        <v>6</v>
      </c>
      <c r="B5" s="5">
        <f>B4-B3</f>
        <v>0</v>
      </c>
      <c r="C5" s="2"/>
      <c r="D5" s="2"/>
      <c r="F5" s="3"/>
      <c r="G5" s="3"/>
      <c r="H5" s="3"/>
      <c r="I5" s="2"/>
      <c r="J5" s="3"/>
      <c r="K5" s="3"/>
      <c r="L5" s="3"/>
      <c r="M5" s="3"/>
      <c r="N5" s="3"/>
    </row>
    <row r="6" ht="14.25" customHeight="1">
      <c r="A6" s="2" t="s">
        <v>7</v>
      </c>
      <c r="B6" s="4"/>
      <c r="C6" s="2"/>
      <c r="D6" s="2"/>
      <c r="F6" s="3"/>
      <c r="G6" s="3"/>
      <c r="H6" s="3"/>
      <c r="I6" s="2"/>
      <c r="J6" s="3"/>
      <c r="K6" s="3"/>
      <c r="L6" s="3"/>
      <c r="M6" s="3"/>
      <c r="N6" s="3"/>
    </row>
    <row r="7" ht="14.25" customHeight="1">
      <c r="A7" s="2" t="s">
        <v>8</v>
      </c>
      <c r="B7" s="6">
        <f>B5*B6</f>
        <v>0</v>
      </c>
      <c r="C7" s="2"/>
      <c r="D7" s="2"/>
      <c r="F7" s="7"/>
      <c r="G7" s="7"/>
      <c r="H7" s="3"/>
      <c r="I7" s="3"/>
      <c r="J7" s="3"/>
      <c r="K7" s="7"/>
      <c r="L7" s="7"/>
      <c r="M7" s="7"/>
      <c r="N7" s="7"/>
    </row>
    <row r="8" ht="14.25" customHeight="1">
      <c r="A8" s="2" t="s">
        <v>9</v>
      </c>
      <c r="B8" s="8"/>
      <c r="C8" s="2"/>
      <c r="D8" s="2"/>
      <c r="F8" s="3"/>
      <c r="G8" s="3"/>
      <c r="H8" s="7"/>
      <c r="I8" s="3"/>
      <c r="J8" s="3"/>
      <c r="K8" s="3"/>
      <c r="L8" s="3"/>
      <c r="M8" s="3"/>
      <c r="N8" s="3"/>
    </row>
    <row r="9" ht="14.25" customHeight="1">
      <c r="A9" s="2" t="s">
        <v>10</v>
      </c>
      <c r="B9" s="6">
        <f>B7-B8</f>
        <v>0</v>
      </c>
      <c r="C9" s="2"/>
      <c r="D9" s="2"/>
      <c r="F9" s="3"/>
      <c r="G9" s="3"/>
      <c r="H9" s="3"/>
      <c r="I9" s="3"/>
      <c r="J9" s="3"/>
      <c r="K9" s="3"/>
      <c r="L9" s="3"/>
      <c r="M9" s="3"/>
      <c r="N9" s="3"/>
    </row>
    <row r="10" ht="14.25" customHeight="1">
      <c r="A10" s="2" t="s">
        <v>11</v>
      </c>
      <c r="B10" s="4">
        <v>5850.0</v>
      </c>
      <c r="C10" s="2"/>
      <c r="D10" s="9"/>
      <c r="F10" s="2"/>
      <c r="G10" s="2"/>
      <c r="H10" s="2"/>
      <c r="I10" s="2"/>
      <c r="J10" s="3"/>
      <c r="K10" s="10"/>
      <c r="L10" s="10"/>
      <c r="M10" s="10"/>
      <c r="N10" s="10"/>
    </row>
    <row r="11" ht="14.25" customHeight="1">
      <c r="A11" s="2" t="s">
        <v>12</v>
      </c>
      <c r="B11" s="4">
        <v>370.0</v>
      </c>
      <c r="C11" s="2"/>
      <c r="D11" s="9"/>
      <c r="F11" s="11"/>
      <c r="G11" s="11"/>
      <c r="H11" s="11"/>
      <c r="I11" s="11"/>
      <c r="J11" s="12"/>
      <c r="K11" s="13"/>
      <c r="L11" s="13"/>
      <c r="M11" s="13"/>
      <c r="N11" s="13"/>
    </row>
    <row r="12" ht="14.25" customHeight="1">
      <c r="A12" s="2" t="s">
        <v>13</v>
      </c>
      <c r="B12" s="5">
        <f>B10*B11</f>
        <v>2164500</v>
      </c>
      <c r="C12" s="2"/>
      <c r="D12" s="9"/>
      <c r="F12" s="11"/>
      <c r="G12" s="11"/>
      <c r="H12" s="11"/>
      <c r="I12" s="11"/>
      <c r="J12" s="12"/>
      <c r="K12" s="13"/>
      <c r="L12" s="13"/>
      <c r="M12" s="13"/>
      <c r="N12" s="13"/>
    </row>
    <row r="13" ht="14.25" customHeight="1">
      <c r="A13" s="2" t="s">
        <v>14</v>
      </c>
      <c r="B13" s="6">
        <f>B9</f>
        <v>0</v>
      </c>
      <c r="C13" s="2"/>
      <c r="D13" s="9"/>
    </row>
    <row r="14" ht="14.25" customHeight="1">
      <c r="A14" s="2" t="s">
        <v>15</v>
      </c>
      <c r="B14" s="4">
        <v>5.95</v>
      </c>
      <c r="C14" s="2"/>
      <c r="D14" s="9"/>
    </row>
    <row r="15" ht="14.25" customHeight="1">
      <c r="A15" s="2" t="s">
        <v>16</v>
      </c>
      <c r="B15" s="14">
        <f>B13*B14</f>
        <v>0</v>
      </c>
      <c r="C15" s="2"/>
      <c r="D15" s="9"/>
    </row>
    <row r="16" ht="14.25" customHeight="1">
      <c r="A16" s="15" t="s">
        <v>17</v>
      </c>
      <c r="B16" s="16"/>
      <c r="C16" s="16"/>
      <c r="D16" s="17"/>
    </row>
    <row r="17" ht="14.25" customHeight="1">
      <c r="A17" s="18" t="s">
        <v>18</v>
      </c>
      <c r="B17" s="16"/>
      <c r="C17" s="16"/>
      <c r="D17" s="17"/>
    </row>
    <row r="18" ht="14.25" customHeight="1">
      <c r="A18" s="15" t="s">
        <v>19</v>
      </c>
      <c r="B18" s="19"/>
      <c r="C18" s="20"/>
      <c r="D18" s="21"/>
    </row>
    <row r="19" ht="14.25" customHeight="1">
      <c r="A19" s="15" t="s">
        <v>20</v>
      </c>
      <c r="B19" s="19"/>
      <c r="C19" s="20"/>
      <c r="D19" s="21"/>
    </row>
    <row r="20" ht="14.25" customHeight="1">
      <c r="A20" s="15" t="s">
        <v>21</v>
      </c>
      <c r="B20" s="22">
        <f>B19-B18</f>
        <v>0</v>
      </c>
      <c r="C20" s="20"/>
      <c r="D20" s="21"/>
    </row>
    <row r="21" ht="14.25" customHeight="1">
      <c r="A21" s="15" t="s">
        <v>7</v>
      </c>
      <c r="B21" s="19"/>
      <c r="C21" s="20"/>
      <c r="D21" s="21"/>
    </row>
    <row r="22" ht="14.25" customHeight="1">
      <c r="A22" s="15" t="s">
        <v>22</v>
      </c>
      <c r="B22" s="22">
        <f>B21*B20</f>
        <v>0</v>
      </c>
      <c r="C22" s="20"/>
      <c r="D22" s="21"/>
    </row>
    <row r="23" ht="14.25" customHeight="1">
      <c r="A23" s="18" t="s">
        <v>23</v>
      </c>
      <c r="B23" s="16"/>
      <c r="C23" s="16"/>
      <c r="D23" s="17"/>
    </row>
    <row r="24" ht="14.25" customHeight="1">
      <c r="A24" s="15" t="s">
        <v>19</v>
      </c>
      <c r="B24" s="19"/>
      <c r="C24" s="20"/>
      <c r="D24" s="21"/>
    </row>
    <row r="25" ht="14.25" customHeight="1">
      <c r="A25" s="15" t="s">
        <v>20</v>
      </c>
      <c r="B25" s="19"/>
      <c r="C25" s="20"/>
      <c r="D25" s="21"/>
    </row>
    <row r="26" ht="14.25" customHeight="1">
      <c r="A26" s="15" t="s">
        <v>21</v>
      </c>
      <c r="B26" s="22">
        <f>B25-B24</f>
        <v>0</v>
      </c>
      <c r="C26" s="20"/>
      <c r="D26" s="21"/>
    </row>
    <row r="27" ht="14.25" customHeight="1">
      <c r="A27" s="15" t="s">
        <v>7</v>
      </c>
      <c r="B27" s="19"/>
      <c r="C27" s="20"/>
      <c r="D27" s="21"/>
    </row>
    <row r="28" ht="14.25" customHeight="1">
      <c r="A28" s="15" t="s">
        <v>24</v>
      </c>
      <c r="B28" s="22">
        <f>B26*B27</f>
        <v>0</v>
      </c>
      <c r="C28" s="20"/>
      <c r="D28" s="21"/>
    </row>
    <row r="29" ht="14.25" customHeight="1">
      <c r="A29" s="18" t="s">
        <v>25</v>
      </c>
      <c r="B29" s="16"/>
      <c r="C29" s="16"/>
      <c r="D29" s="17"/>
    </row>
    <row r="30" ht="14.25" customHeight="1">
      <c r="A30" s="15" t="s">
        <v>19</v>
      </c>
      <c r="B30" s="19"/>
      <c r="C30" s="20"/>
      <c r="D30" s="21"/>
    </row>
    <row r="31" ht="14.25" customHeight="1">
      <c r="A31" s="15" t="s">
        <v>20</v>
      </c>
      <c r="B31" s="19"/>
      <c r="C31" s="20"/>
      <c r="D31" s="21"/>
    </row>
    <row r="32" ht="14.25" customHeight="1">
      <c r="A32" s="15" t="s">
        <v>21</v>
      </c>
      <c r="B32" s="22">
        <f>B31-B30</f>
        <v>0</v>
      </c>
      <c r="C32" s="20"/>
      <c r="D32" s="21"/>
    </row>
    <row r="33" ht="14.25" customHeight="1">
      <c r="A33" s="15" t="s">
        <v>7</v>
      </c>
      <c r="B33" s="19"/>
      <c r="C33" s="20"/>
      <c r="D33" s="21"/>
    </row>
    <row r="34" ht="14.25" customHeight="1">
      <c r="A34" s="15" t="s">
        <v>26</v>
      </c>
      <c r="B34" s="22">
        <f>B33*B32</f>
        <v>0</v>
      </c>
      <c r="C34" s="20"/>
      <c r="D34" s="21"/>
    </row>
    <row r="35" ht="14.25" customHeight="1">
      <c r="A35" s="18" t="s">
        <v>27</v>
      </c>
      <c r="B35" s="16"/>
      <c r="C35" s="16"/>
      <c r="D35" s="17"/>
    </row>
    <row r="36" ht="14.25" customHeight="1">
      <c r="A36" s="15" t="s">
        <v>19</v>
      </c>
      <c r="B36" s="19"/>
      <c r="C36" s="20"/>
      <c r="D36" s="21"/>
    </row>
    <row r="37" ht="14.25" customHeight="1">
      <c r="A37" s="15" t="s">
        <v>20</v>
      </c>
      <c r="B37" s="19"/>
      <c r="C37" s="20"/>
      <c r="D37" s="21"/>
    </row>
    <row r="38" ht="14.25" customHeight="1">
      <c r="A38" s="15" t="s">
        <v>21</v>
      </c>
      <c r="B38" s="22">
        <f>B37-B36</f>
        <v>0</v>
      </c>
      <c r="C38" s="20"/>
      <c r="D38" s="21"/>
    </row>
    <row r="39" ht="14.25" customHeight="1">
      <c r="A39" s="15" t="s">
        <v>7</v>
      </c>
      <c r="B39" s="19"/>
      <c r="C39" s="20"/>
      <c r="D39" s="21"/>
    </row>
    <row r="40" ht="14.25" customHeight="1">
      <c r="A40" s="15" t="s">
        <v>28</v>
      </c>
      <c r="B40" s="22">
        <f>B39*B38</f>
        <v>0</v>
      </c>
      <c r="C40" s="20"/>
      <c r="D40" s="21"/>
    </row>
    <row r="41" ht="14.25" customHeight="1">
      <c r="A41" s="2" t="s">
        <v>29</v>
      </c>
      <c r="B41" s="23">
        <f>B22</f>
        <v>0</v>
      </c>
      <c r="C41" s="2"/>
      <c r="D41" s="9"/>
    </row>
    <row r="42" ht="14.25" customHeight="1">
      <c r="A42" s="2" t="s">
        <v>30</v>
      </c>
      <c r="B42" s="24"/>
      <c r="C42" s="2"/>
      <c r="D42" s="9"/>
    </row>
    <row r="43" ht="14.25" customHeight="1">
      <c r="A43" s="2" t="s">
        <v>31</v>
      </c>
      <c r="B43" s="23">
        <f>B28</f>
        <v>0</v>
      </c>
      <c r="C43" s="2"/>
      <c r="D43" s="9"/>
    </row>
    <row r="44" ht="14.25" customHeight="1">
      <c r="A44" s="2" t="s">
        <v>32</v>
      </c>
      <c r="B44" s="24"/>
      <c r="C44" s="2"/>
      <c r="D44" s="9"/>
    </row>
    <row r="45" ht="14.25" customHeight="1">
      <c r="A45" s="2" t="s">
        <v>33</v>
      </c>
      <c r="B45" s="23">
        <f>B34</f>
        <v>0</v>
      </c>
      <c r="C45" s="2"/>
      <c r="D45" s="9"/>
    </row>
    <row r="46" ht="14.25" customHeight="1">
      <c r="A46" s="2" t="s">
        <v>34</v>
      </c>
      <c r="B46" s="24"/>
      <c r="C46" s="2"/>
      <c r="D46" s="9"/>
    </row>
    <row r="47" ht="14.25" customHeight="1">
      <c r="A47" s="2" t="s">
        <v>35</v>
      </c>
      <c r="B47" s="23">
        <f>B40</f>
        <v>0</v>
      </c>
      <c r="C47" s="2"/>
      <c r="D47" s="9"/>
    </row>
    <row r="48" ht="14.25" customHeight="1">
      <c r="A48" s="2" t="s">
        <v>36</v>
      </c>
      <c r="B48" s="24"/>
      <c r="C48" s="2"/>
      <c r="D48" s="9"/>
    </row>
    <row r="49" ht="14.25" customHeight="1">
      <c r="A49" s="2" t="s">
        <v>37</v>
      </c>
      <c r="B49" s="23">
        <f>B41+B43+B45+B47</f>
        <v>0</v>
      </c>
      <c r="C49" s="2"/>
      <c r="D49" s="9"/>
    </row>
    <row r="50" ht="14.25" customHeight="1">
      <c r="A50" s="2" t="s">
        <v>38</v>
      </c>
      <c r="B50" s="23">
        <f>(B41*B42)+(B43*B44)+(B45*B46)+(B47*B48)</f>
        <v>0</v>
      </c>
      <c r="C50" s="2"/>
      <c r="D50" s="9"/>
    </row>
    <row r="51" ht="14.25" customHeight="1">
      <c r="A51" s="15"/>
      <c r="B51" s="16"/>
      <c r="C51" s="16"/>
      <c r="D51" s="17"/>
    </row>
    <row r="52" ht="14.25" customHeight="1">
      <c r="A52" s="2" t="s">
        <v>39</v>
      </c>
      <c r="B52" s="6">
        <f>B7</f>
        <v>0</v>
      </c>
      <c r="C52" s="25"/>
      <c r="D52" s="9"/>
    </row>
    <row r="53" ht="14.25" customHeight="1">
      <c r="A53" s="2" t="s">
        <v>40</v>
      </c>
      <c r="B53" s="4">
        <v>0.3</v>
      </c>
      <c r="C53" s="25"/>
      <c r="D53" s="9"/>
    </row>
    <row r="54" ht="14.25" customHeight="1">
      <c r="A54" s="2" t="s">
        <v>41</v>
      </c>
      <c r="B54" s="14">
        <f>B52*B53</f>
        <v>0</v>
      </c>
      <c r="C54" s="25"/>
      <c r="D54" s="9"/>
    </row>
    <row r="55" ht="14.25" customHeight="1">
      <c r="A55" s="2" t="s">
        <v>42</v>
      </c>
      <c r="B55" s="6">
        <f>B7</f>
        <v>0</v>
      </c>
      <c r="C55" s="25"/>
      <c r="D55" s="9"/>
    </row>
    <row r="56" ht="14.25" customHeight="1">
      <c r="A56" s="2" t="s">
        <v>43</v>
      </c>
      <c r="B56" s="4">
        <v>0.36</v>
      </c>
      <c r="C56" s="25"/>
      <c r="D56" s="9"/>
    </row>
    <row r="57" ht="14.25" customHeight="1">
      <c r="A57" s="2" t="s">
        <v>44</v>
      </c>
      <c r="B57" s="14">
        <f>B55*B56</f>
        <v>0</v>
      </c>
      <c r="C57" s="25"/>
      <c r="D57" s="9"/>
    </row>
    <row r="58" ht="14.25" customHeight="1">
      <c r="A58" s="2" t="s">
        <v>45</v>
      </c>
      <c r="B58" s="4"/>
      <c r="C58" s="25"/>
      <c r="D58" s="26"/>
    </row>
    <row r="59" ht="14.25" customHeight="1">
      <c r="A59" s="2" t="s">
        <v>46</v>
      </c>
      <c r="B59" s="4"/>
      <c r="C59" s="2"/>
      <c r="D59" s="9"/>
    </row>
    <row r="60" ht="14.25" customHeight="1">
      <c r="A60" s="2" t="s">
        <v>47</v>
      </c>
      <c r="B60" s="27">
        <v>0.09</v>
      </c>
      <c r="D60" s="9"/>
      <c r="F60" s="28"/>
    </row>
    <row r="61" ht="14.25" customHeight="1">
      <c r="A61" s="2" t="s">
        <v>48</v>
      </c>
      <c r="B61" s="29">
        <f>B60*(B15+B50)</f>
        <v>0</v>
      </c>
      <c r="D61" s="9"/>
      <c r="F61" s="28"/>
    </row>
    <row r="62" ht="14.25" customHeight="1">
      <c r="A62" s="2" t="s">
        <v>49</v>
      </c>
      <c r="B62" s="14">
        <f>SUM(B12,B15,B50,B54,B57,B61)</f>
        <v>2164500</v>
      </c>
      <c r="C62" s="30"/>
      <c r="D62" s="9"/>
    </row>
    <row r="63" ht="14.25" customHeight="1">
      <c r="A63" s="2" t="s">
        <v>50</v>
      </c>
      <c r="B63" s="31">
        <v>51907.0</v>
      </c>
      <c r="C63" s="30"/>
      <c r="F63" s="28"/>
    </row>
    <row r="64" ht="14.25" customHeight="1">
      <c r="A64" s="2" t="s">
        <v>51</v>
      </c>
      <c r="B64" s="4"/>
      <c r="C64" s="30"/>
      <c r="D64" s="9"/>
      <c r="F64" s="28"/>
    </row>
    <row r="65" ht="14.25" customHeight="1">
      <c r="A65" s="2" t="s">
        <v>52</v>
      </c>
      <c r="B65" s="4"/>
      <c r="C65" s="30"/>
      <c r="D65" s="9"/>
      <c r="F65" s="28"/>
    </row>
    <row r="66" ht="14.25" customHeight="1">
      <c r="A66" s="2" t="s">
        <v>53</v>
      </c>
      <c r="B66" s="27">
        <v>0.09</v>
      </c>
      <c r="D66" s="9"/>
      <c r="F66" s="28"/>
      <c r="H66" s="32"/>
    </row>
    <row r="67" ht="14.25" customHeight="1">
      <c r="A67" s="2" t="s">
        <v>54</v>
      </c>
      <c r="B67" s="6">
        <f>B8*B14*B66</f>
        <v>0</v>
      </c>
      <c r="C67" s="30"/>
      <c r="D67" s="9"/>
      <c r="F67" s="28"/>
      <c r="H67" s="32"/>
    </row>
    <row r="68" ht="14.25" customHeight="1">
      <c r="A68" s="2" t="s">
        <v>55</v>
      </c>
      <c r="B68" s="8" t="str">
        <f>B8</f>
        <v/>
      </c>
      <c r="C68" s="2"/>
      <c r="D68" s="26"/>
      <c r="E68" s="28"/>
    </row>
    <row r="69" ht="14.25" customHeight="1">
      <c r="A69" s="2" t="s">
        <v>56</v>
      </c>
      <c r="B69" s="4"/>
      <c r="C69" s="2"/>
      <c r="D69" s="26"/>
      <c r="E69" s="28"/>
    </row>
    <row r="70" ht="14.25" customHeight="1">
      <c r="A70" s="2" t="s">
        <v>57</v>
      </c>
      <c r="B70" s="14">
        <f>B69*B68</f>
        <v>0</v>
      </c>
      <c r="C70" s="2"/>
      <c r="D70" s="26"/>
      <c r="E70" s="28"/>
    </row>
    <row r="71" ht="14.25" customHeight="1">
      <c r="A71" s="2" t="s">
        <v>58</v>
      </c>
      <c r="B71" s="4"/>
      <c r="C71" s="2"/>
      <c r="D71" s="26"/>
    </row>
    <row r="72" ht="14.25" customHeight="1">
      <c r="A72" s="2" t="s">
        <v>59</v>
      </c>
      <c r="B72" s="6">
        <f>B71*B8</f>
        <v>0</v>
      </c>
      <c r="C72" s="2"/>
      <c r="D72" s="26"/>
    </row>
    <row r="73" ht="14.25" customHeight="1">
      <c r="A73" s="2" t="s">
        <v>60</v>
      </c>
      <c r="B73" s="4"/>
      <c r="C73" s="2"/>
      <c r="D73" s="9"/>
      <c r="F73" s="28"/>
    </row>
    <row r="74" ht="14.25" customHeight="1">
      <c r="A74" s="2" t="s">
        <v>61</v>
      </c>
      <c r="B74" s="4"/>
      <c r="C74" s="2"/>
      <c r="D74" s="9"/>
      <c r="F74" s="28"/>
    </row>
    <row r="75" ht="14.25" customHeight="1">
      <c r="A75" s="2" t="s">
        <v>62</v>
      </c>
      <c r="B75" s="4"/>
      <c r="C75" s="2"/>
      <c r="D75" s="9"/>
      <c r="F75" s="28"/>
    </row>
    <row r="76" ht="14.25" customHeight="1">
      <c r="A76" s="2" t="s">
        <v>63</v>
      </c>
      <c r="B76" s="4"/>
      <c r="C76" s="2"/>
      <c r="D76" s="9"/>
      <c r="H76" s="33"/>
    </row>
    <row r="77" ht="14.25" customHeight="1">
      <c r="A77" s="2" t="s">
        <v>64</v>
      </c>
      <c r="B77" s="14">
        <f>B76+B75+B74+B72+B70+B67+B65+B63+B62</f>
        <v>2216407</v>
      </c>
      <c r="C77" s="2"/>
      <c r="D77" s="34"/>
      <c r="E77" s="28"/>
      <c r="F77" s="35"/>
      <c r="G77" s="36"/>
      <c r="H77" s="37"/>
    </row>
    <row r="78" ht="14.25" customHeight="1">
      <c r="A78" s="2" t="s">
        <v>65</v>
      </c>
      <c r="B78" s="38" t="str">
        <f>B8</f>
        <v/>
      </c>
      <c r="C78" s="39"/>
      <c r="D78" s="39"/>
      <c r="E78" s="28"/>
      <c r="F78" s="40"/>
      <c r="G78" s="41"/>
      <c r="H78" s="42" t="s">
        <v>66</v>
      </c>
    </row>
    <row r="79" ht="14.25" customHeight="1">
      <c r="A79" s="2" t="s">
        <v>67</v>
      </c>
      <c r="B79" s="43"/>
      <c r="C79" s="39"/>
      <c r="D79" s="39"/>
      <c r="E79" s="28"/>
      <c r="F79" s="40"/>
      <c r="G79" s="41"/>
    </row>
    <row r="80" ht="14.25" customHeight="1">
      <c r="A80" s="44" t="s">
        <v>68</v>
      </c>
      <c r="B80" s="45">
        <f>B78*B79</f>
        <v>0</v>
      </c>
      <c r="C80" s="39"/>
      <c r="D80" s="39"/>
      <c r="E80" s="28"/>
      <c r="F80" s="40"/>
      <c r="G80" s="41"/>
    </row>
    <row r="81" ht="14.25" customHeight="1">
      <c r="A81" s="2" t="s">
        <v>69</v>
      </c>
      <c r="B81" s="27">
        <v>0.09</v>
      </c>
      <c r="D81" s="9"/>
      <c r="F81" s="28"/>
      <c r="G81" s="46"/>
      <c r="H81" s="42" t="s">
        <v>70</v>
      </c>
    </row>
    <row r="82" ht="14.25" customHeight="1">
      <c r="A82" s="2" t="s">
        <v>54</v>
      </c>
      <c r="B82" s="38">
        <f>B81*B80</f>
        <v>0</v>
      </c>
      <c r="C82" s="30"/>
      <c r="D82" s="9"/>
      <c r="F82" s="28"/>
      <c r="G82" s="46"/>
    </row>
    <row r="83" ht="14.25" customHeight="1">
      <c r="A83" s="2" t="s">
        <v>71</v>
      </c>
      <c r="B83" s="47"/>
      <c r="C83" s="2"/>
      <c r="D83" s="9"/>
      <c r="F83" s="28"/>
    </row>
    <row r="84" ht="14.25" customHeight="1">
      <c r="A84" s="2" t="s">
        <v>72</v>
      </c>
      <c r="B84" s="8"/>
      <c r="C84" s="30"/>
      <c r="D84" s="9"/>
      <c r="F84" s="28"/>
    </row>
    <row r="85" ht="14.25" customHeight="1">
      <c r="A85" s="48" t="s">
        <v>73</v>
      </c>
      <c r="B85" s="14">
        <f>B83+B82+B80+B57+B54+B50+B15+B84</f>
        <v>0</v>
      </c>
      <c r="C85" s="2"/>
      <c r="D85" s="49"/>
      <c r="F85" s="28"/>
    </row>
    <row r="86" ht="14.25" customHeight="1">
      <c r="A86" s="50" t="s">
        <v>74</v>
      </c>
      <c r="B86" s="51" t="str">
        <f>B85/B7</f>
        <v>#DIV/0!</v>
      </c>
      <c r="C86" s="50"/>
      <c r="D86" s="52"/>
      <c r="F86" s="28"/>
      <c r="G86" s="28"/>
      <c r="H86" s="28"/>
    </row>
    <row r="87" ht="14.25" customHeight="1">
      <c r="D87" s="28"/>
      <c r="F87" s="53"/>
      <c r="G87" s="28"/>
      <c r="H87" s="28"/>
    </row>
    <row r="88" ht="14.25" customHeight="1">
      <c r="D88" s="28"/>
      <c r="G88" s="28"/>
    </row>
    <row r="89" ht="14.25" customHeight="1"/>
    <row r="90" ht="14.25" customHeight="1">
      <c r="B90" s="12"/>
      <c r="F90" s="28"/>
    </row>
    <row r="91" ht="14.25" customHeight="1">
      <c r="B91" s="12"/>
      <c r="D91" s="28"/>
    </row>
    <row r="92" ht="14.25" customHeight="1">
      <c r="B92" s="12"/>
      <c r="D92" s="28"/>
    </row>
    <row r="93" ht="14.25" customHeight="1">
      <c r="B93" s="12"/>
    </row>
    <row r="94" ht="14.25" customHeight="1">
      <c r="B94" s="40"/>
      <c r="C94" s="28"/>
    </row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A16:D16"/>
    <mergeCell ref="A17:D17"/>
    <mergeCell ref="A23:D23"/>
    <mergeCell ref="A29:D29"/>
    <mergeCell ref="A35:D35"/>
    <mergeCell ref="A51:D51"/>
  </mergeCells>
  <printOptions/>
  <pageMargins bottom="0.75" footer="0.0" header="0.0" left="0.7" right="0.7" top="0.75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1.29"/>
    <col customWidth="1" min="2" max="2" width="12.57"/>
    <col customWidth="1" min="3" max="3" width="11.57"/>
    <col customWidth="1" min="4" max="4" width="15.43"/>
    <col customWidth="1" min="5" max="5" width="15.86"/>
    <col customWidth="1" min="6" max="8" width="14.29"/>
    <col customWidth="1" min="9" max="26" width="8.71"/>
  </cols>
  <sheetData>
    <row r="1" ht="14.25" customHeight="1">
      <c r="A1" s="1" t="s">
        <v>0</v>
      </c>
    </row>
    <row r="2" ht="14.25" customHeight="1">
      <c r="A2" s="2"/>
      <c r="B2" s="2" t="s">
        <v>1</v>
      </c>
      <c r="C2" s="2" t="s">
        <v>2</v>
      </c>
      <c r="D2" s="2" t="s">
        <v>3</v>
      </c>
      <c r="F2" s="3" t="s">
        <v>75</v>
      </c>
      <c r="G2" s="3" t="s">
        <v>76</v>
      </c>
      <c r="H2" s="3" t="s">
        <v>77</v>
      </c>
      <c r="I2" s="2"/>
      <c r="J2" s="3"/>
      <c r="K2" s="3" t="s">
        <v>78</v>
      </c>
      <c r="L2" s="3" t="s">
        <v>79</v>
      </c>
      <c r="M2" s="3" t="s">
        <v>80</v>
      </c>
      <c r="N2" s="3" t="s">
        <v>81</v>
      </c>
    </row>
    <row r="3" ht="14.25" customHeight="1">
      <c r="A3" s="2" t="s">
        <v>8</v>
      </c>
      <c r="B3" s="54">
        <f>H7</f>
        <v>554</v>
      </c>
      <c r="C3" s="2"/>
      <c r="D3" s="2"/>
      <c r="F3" s="55">
        <v>5.196</v>
      </c>
      <c r="G3" s="55">
        <v>5.473</v>
      </c>
      <c r="H3" s="3">
        <f>(G3-F3)*2000</f>
        <v>554</v>
      </c>
      <c r="I3" s="3"/>
      <c r="J3" s="3" t="s">
        <v>75</v>
      </c>
      <c r="K3" s="55">
        <v>0.0</v>
      </c>
      <c r="L3" s="55">
        <v>0.0</v>
      </c>
      <c r="M3" s="55">
        <v>0.0</v>
      </c>
      <c r="N3" s="55">
        <v>0.0</v>
      </c>
    </row>
    <row r="4" ht="14.25" customHeight="1">
      <c r="A4" s="2"/>
      <c r="B4" s="54">
        <v>0.0</v>
      </c>
      <c r="C4" s="2"/>
      <c r="D4" s="2"/>
      <c r="F4" s="3"/>
      <c r="G4" s="3"/>
      <c r="H4" s="3">
        <f>(G4-F4)*40000</f>
        <v>0</v>
      </c>
      <c r="I4" s="3"/>
      <c r="J4" s="3" t="s">
        <v>76</v>
      </c>
      <c r="K4" s="55">
        <v>0.0</v>
      </c>
      <c r="L4" s="55">
        <v>0.0</v>
      </c>
      <c r="M4" s="55">
        <v>0.0</v>
      </c>
      <c r="N4" s="55">
        <v>0.0</v>
      </c>
    </row>
    <row r="5" ht="14.25" customHeight="1">
      <c r="A5" s="2" t="s">
        <v>9</v>
      </c>
      <c r="B5" s="54">
        <f>H5</f>
        <v>0</v>
      </c>
      <c r="C5" s="2"/>
      <c r="D5" s="2"/>
      <c r="F5" s="3"/>
      <c r="G5" s="3" t="s">
        <v>82</v>
      </c>
      <c r="H5" s="55">
        <v>0.0</v>
      </c>
      <c r="I5" s="3"/>
      <c r="J5" s="3" t="s">
        <v>83</v>
      </c>
      <c r="K5" s="3">
        <f t="shared" ref="K5:N5" si="1">(K4-K3)*40000</f>
        <v>0</v>
      </c>
      <c r="L5" s="3">
        <f t="shared" si="1"/>
        <v>0</v>
      </c>
      <c r="M5" s="3">
        <f t="shared" si="1"/>
        <v>0</v>
      </c>
      <c r="N5" s="3">
        <f t="shared" si="1"/>
        <v>0</v>
      </c>
    </row>
    <row r="6" ht="14.25" customHeight="1">
      <c r="A6" s="2" t="s">
        <v>10</v>
      </c>
      <c r="B6" s="54">
        <f>B3-B4-B5</f>
        <v>554</v>
      </c>
      <c r="C6" s="2"/>
      <c r="D6" s="2"/>
      <c r="F6" s="3"/>
      <c r="G6" s="3"/>
      <c r="H6" s="3"/>
      <c r="I6" s="3"/>
      <c r="J6" s="3"/>
      <c r="K6" s="3"/>
      <c r="L6" s="3"/>
      <c r="M6" s="3"/>
      <c r="N6" s="3"/>
    </row>
    <row r="7" ht="14.25" customHeight="1">
      <c r="A7" s="2"/>
      <c r="B7" s="2"/>
      <c r="C7" s="2"/>
      <c r="D7" s="2"/>
      <c r="F7" s="2"/>
      <c r="G7" s="2" t="s">
        <v>84</v>
      </c>
      <c r="H7" s="56">
        <f>(H3+H4)-H5</f>
        <v>554</v>
      </c>
      <c r="I7" s="2"/>
      <c r="J7" s="2"/>
      <c r="K7" s="2"/>
      <c r="L7" s="2"/>
      <c r="M7" s="2"/>
      <c r="N7" s="2"/>
    </row>
    <row r="8" ht="14.25" customHeight="1">
      <c r="A8" s="2" t="s">
        <v>85</v>
      </c>
      <c r="B8" s="2">
        <v>315.0</v>
      </c>
      <c r="C8" s="2">
        <v>370.0</v>
      </c>
      <c r="D8" s="9">
        <f>C8*B8</f>
        <v>116550</v>
      </c>
      <c r="F8" s="2"/>
      <c r="G8" s="2"/>
      <c r="H8" s="2"/>
      <c r="I8" s="2"/>
      <c r="J8" s="3" t="s">
        <v>86</v>
      </c>
      <c r="K8" s="10">
        <f>((H7*K5)/H3)</f>
        <v>0</v>
      </c>
      <c r="L8" s="10">
        <f>((H7*L5)/H3)</f>
        <v>0</v>
      </c>
      <c r="M8" s="10">
        <f>((H7*M5)/H3)</f>
        <v>0</v>
      </c>
      <c r="N8" s="10">
        <f>((H7*N5)/H3)</f>
        <v>0</v>
      </c>
    </row>
    <row r="9" ht="14.25" customHeight="1">
      <c r="A9" s="2" t="s">
        <v>87</v>
      </c>
      <c r="B9" s="54">
        <f>B6</f>
        <v>554</v>
      </c>
      <c r="C9" s="2">
        <v>5.95</v>
      </c>
      <c r="D9" s="9">
        <f t="shared" ref="D9:D14" si="2">B9*C9</f>
        <v>3296.3</v>
      </c>
    </row>
    <row r="10" ht="14.25" customHeight="1">
      <c r="A10" s="2" t="s">
        <v>88</v>
      </c>
      <c r="B10" s="57">
        <f>K8</f>
        <v>0</v>
      </c>
      <c r="C10" s="2">
        <v>0.0</v>
      </c>
      <c r="D10" s="9">
        <f t="shared" si="2"/>
        <v>0</v>
      </c>
    </row>
    <row r="11" ht="14.25" customHeight="1">
      <c r="A11" s="2" t="s">
        <v>89</v>
      </c>
      <c r="B11" s="57">
        <f>M8</f>
        <v>0</v>
      </c>
      <c r="C11" s="2">
        <v>0.0</v>
      </c>
      <c r="D11" s="9">
        <f t="shared" si="2"/>
        <v>0</v>
      </c>
    </row>
    <row r="12" ht="14.25" customHeight="1">
      <c r="A12" s="2" t="s">
        <v>90</v>
      </c>
      <c r="B12" s="57">
        <f>N8</f>
        <v>0</v>
      </c>
      <c r="C12" s="2">
        <v>0.0</v>
      </c>
      <c r="D12" s="9">
        <f t="shared" si="2"/>
        <v>0</v>
      </c>
    </row>
    <row r="13" ht="14.25" customHeight="1">
      <c r="A13" s="2" t="s">
        <v>91</v>
      </c>
      <c r="B13" s="54">
        <f>B6</f>
        <v>554</v>
      </c>
      <c r="C13" s="2">
        <v>0.3</v>
      </c>
      <c r="D13" s="9">
        <f t="shared" si="2"/>
        <v>166.2</v>
      </c>
      <c r="G13" s="42" t="s">
        <v>92</v>
      </c>
    </row>
    <row r="14" ht="14.25" customHeight="1">
      <c r="A14" s="2" t="s">
        <v>93</v>
      </c>
      <c r="B14" s="54">
        <f>B6</f>
        <v>554</v>
      </c>
      <c r="C14" s="2">
        <v>0.36</v>
      </c>
      <c r="D14" s="9">
        <f t="shared" si="2"/>
        <v>199.44</v>
      </c>
    </row>
    <row r="15" ht="14.25" customHeight="1">
      <c r="A15" s="2" t="s">
        <v>45</v>
      </c>
      <c r="B15" s="2"/>
      <c r="C15" s="2"/>
      <c r="D15" s="9">
        <v>100.0</v>
      </c>
    </row>
    <row r="16" ht="14.25" customHeight="1">
      <c r="A16" s="2" t="s">
        <v>46</v>
      </c>
      <c r="B16" s="2"/>
      <c r="C16" s="2"/>
      <c r="D16" s="9">
        <v>0.0</v>
      </c>
    </row>
    <row r="17" ht="14.25" customHeight="1">
      <c r="A17" s="2" t="s">
        <v>94</v>
      </c>
      <c r="B17" s="54">
        <f>B3</f>
        <v>554</v>
      </c>
      <c r="C17" s="2">
        <v>1.74</v>
      </c>
      <c r="D17" s="9">
        <f>B17*C17</f>
        <v>963.96</v>
      </c>
    </row>
    <row r="18" ht="14.25" customHeight="1">
      <c r="A18" s="2" t="s">
        <v>95</v>
      </c>
      <c r="B18" s="2"/>
      <c r="C18" s="30">
        <v>0.09</v>
      </c>
      <c r="D18" s="9">
        <f>(D9+D10+D12+D11)*C18</f>
        <v>296.667</v>
      </c>
      <c r="F18" s="28"/>
    </row>
    <row r="19" ht="14.25" customHeight="1">
      <c r="A19" s="2" t="s">
        <v>49</v>
      </c>
      <c r="B19" s="2"/>
      <c r="C19" s="30"/>
      <c r="D19" s="9">
        <f>SUM(D8:D18)</f>
        <v>121572.567</v>
      </c>
      <c r="F19" s="28"/>
    </row>
    <row r="20" ht="14.25" customHeight="1">
      <c r="A20" s="2" t="s">
        <v>50</v>
      </c>
      <c r="B20" s="2"/>
      <c r="C20" s="30"/>
      <c r="D20" s="9">
        <v>1775.0</v>
      </c>
    </row>
    <row r="21" ht="14.25" customHeight="1">
      <c r="A21" s="2" t="s">
        <v>51</v>
      </c>
      <c r="B21" s="2"/>
      <c r="C21" s="30"/>
      <c r="D21" s="9">
        <v>0.0</v>
      </c>
      <c r="F21" s="28"/>
    </row>
    <row r="22" ht="14.25" customHeight="1">
      <c r="A22" s="2" t="s">
        <v>52</v>
      </c>
      <c r="B22" s="2"/>
      <c r="C22" s="30"/>
      <c r="D22" s="9"/>
      <c r="F22" s="28"/>
    </row>
    <row r="23" ht="14.25" customHeight="1">
      <c r="A23" s="2" t="s">
        <v>69</v>
      </c>
      <c r="B23" s="2"/>
      <c r="C23" s="30">
        <v>0.09</v>
      </c>
      <c r="D23" s="9">
        <f>(((B4+B5)*8)*C23)</f>
        <v>0</v>
      </c>
      <c r="F23" s="28"/>
      <c r="G23" s="28"/>
      <c r="H23" s="32"/>
    </row>
    <row r="24" ht="14.25" customHeight="1">
      <c r="A24" s="2" t="s">
        <v>71</v>
      </c>
      <c r="B24" s="2"/>
      <c r="C24" s="2">
        <v>0.82</v>
      </c>
      <c r="D24" s="9">
        <f>B5*C24</f>
        <v>0</v>
      </c>
      <c r="E24" s="28"/>
    </row>
    <row r="25" ht="14.25" customHeight="1">
      <c r="A25" s="2" t="s">
        <v>96</v>
      </c>
      <c r="B25" s="2"/>
      <c r="C25" s="2"/>
      <c r="D25" s="9">
        <f>B25*C25</f>
        <v>0</v>
      </c>
      <c r="F25" s="28"/>
    </row>
    <row r="26" ht="14.25" customHeight="1">
      <c r="A26" s="2" t="s">
        <v>60</v>
      </c>
      <c r="B26" s="2"/>
      <c r="C26" s="2"/>
      <c r="D26" s="9">
        <v>0.0</v>
      </c>
      <c r="F26" s="28"/>
    </row>
    <row r="27" ht="14.25" customHeight="1">
      <c r="A27" s="2" t="s">
        <v>61</v>
      </c>
      <c r="B27" s="2"/>
      <c r="C27" s="2"/>
      <c r="D27" s="9">
        <v>0.0</v>
      </c>
    </row>
    <row r="28" ht="14.25" customHeight="1">
      <c r="A28" s="2" t="s">
        <v>62</v>
      </c>
      <c r="B28" s="2"/>
      <c r="C28" s="2"/>
      <c r="D28" s="9">
        <v>0.0</v>
      </c>
    </row>
    <row r="29" ht="14.25" customHeight="1">
      <c r="A29" s="2" t="s">
        <v>63</v>
      </c>
      <c r="B29" s="2"/>
      <c r="C29" s="2"/>
      <c r="D29" s="9">
        <v>0.0</v>
      </c>
    </row>
    <row r="30" ht="14.25" customHeight="1">
      <c r="A30" s="2" t="s">
        <v>64</v>
      </c>
      <c r="B30" s="2"/>
      <c r="C30" s="2"/>
      <c r="D30" s="58">
        <f>D19+D20+D23+D24+D27+D28+D29+D21</f>
        <v>123347.567</v>
      </c>
      <c r="E30" s="28"/>
      <c r="F30" s="40"/>
      <c r="G30" s="28"/>
    </row>
    <row r="31" ht="14.25" customHeight="1">
      <c r="A31" s="59" t="s">
        <v>68</v>
      </c>
      <c r="B31" s="60">
        <f>B5</f>
        <v>0</v>
      </c>
      <c r="C31" s="39">
        <v>8.0</v>
      </c>
      <c r="D31" s="39">
        <f>B31*C31</f>
        <v>0</v>
      </c>
      <c r="E31" s="28"/>
      <c r="F31" s="40"/>
      <c r="G31" s="41"/>
    </row>
    <row r="32" ht="14.25" customHeight="1">
      <c r="A32" s="2" t="s">
        <v>69</v>
      </c>
      <c r="B32" s="60">
        <f>B5</f>
        <v>0</v>
      </c>
      <c r="C32" s="30">
        <v>0.09</v>
      </c>
      <c r="D32" s="9">
        <f>(B32*8)*C32</f>
        <v>0</v>
      </c>
      <c r="F32" s="28"/>
    </row>
    <row r="33" ht="14.25" customHeight="1">
      <c r="A33" s="2" t="s">
        <v>97</v>
      </c>
      <c r="B33" s="54"/>
      <c r="C33" s="30"/>
      <c r="D33" s="9">
        <v>0.0</v>
      </c>
      <c r="F33" s="28"/>
    </row>
    <row r="34" ht="14.25" customHeight="1">
      <c r="A34" s="48" t="s">
        <v>73</v>
      </c>
      <c r="B34" s="2"/>
      <c r="C34" s="2"/>
      <c r="D34" s="49">
        <f>(D9+D13+D18+D17+D14)</f>
        <v>4922.567</v>
      </c>
      <c r="F34" s="28">
        <f>D9+D13+D14+D17+D18</f>
        <v>4922.567</v>
      </c>
    </row>
    <row r="35" ht="14.25" customHeight="1">
      <c r="A35" s="61" t="s">
        <v>74</v>
      </c>
      <c r="B35" s="61"/>
      <c r="C35" s="61"/>
      <c r="D35" s="62">
        <f>D34/(B3-B4)</f>
        <v>8.8855</v>
      </c>
      <c r="F35" s="28">
        <f>F34/B3</f>
        <v>8.8855</v>
      </c>
      <c r="G35" s="28"/>
      <c r="H35" s="28"/>
    </row>
    <row r="36" ht="14.25" customHeight="1">
      <c r="D36" s="28"/>
      <c r="F36" s="53"/>
      <c r="G36" s="28"/>
      <c r="H36" s="28"/>
    </row>
    <row r="37" ht="14.25" customHeight="1">
      <c r="D37" s="28"/>
      <c r="G37" s="28"/>
    </row>
    <row r="38" ht="14.25" customHeight="1">
      <c r="A38" s="63" t="s">
        <v>98</v>
      </c>
      <c r="B38" s="16"/>
      <c r="C38" s="16"/>
      <c r="D38" s="16"/>
      <c r="E38" s="17"/>
      <c r="G38" s="28"/>
    </row>
    <row r="39" ht="14.25" customHeight="1">
      <c r="A39" s="64" t="s">
        <v>99</v>
      </c>
      <c r="B39" s="64" t="s">
        <v>100</v>
      </c>
      <c r="C39" s="64" t="s">
        <v>101</v>
      </c>
      <c r="D39" s="64" t="s">
        <v>95</v>
      </c>
      <c r="E39" s="64" t="s">
        <v>3</v>
      </c>
    </row>
    <row r="40" ht="14.25" customHeight="1">
      <c r="A40" s="3" t="s">
        <v>102</v>
      </c>
      <c r="B40" s="3">
        <v>170000.0</v>
      </c>
      <c r="C40" s="3">
        <v>8.0</v>
      </c>
      <c r="D40" s="65">
        <v>0.09</v>
      </c>
      <c r="E40" s="3">
        <f>(B40*C40)*D40</f>
        <v>122400</v>
      </c>
    </row>
    <row r="41" ht="14.25" customHeight="1">
      <c r="A41" s="3" t="s">
        <v>71</v>
      </c>
      <c r="B41" s="3">
        <v>170000.0</v>
      </c>
      <c r="C41" s="3">
        <v>0.82</v>
      </c>
      <c r="D41" s="66"/>
      <c r="E41" s="66">
        <f>C41*B41</f>
        <v>139400</v>
      </c>
    </row>
    <row r="42" ht="14.25" customHeight="1">
      <c r="A42" s="3" t="s">
        <v>96</v>
      </c>
      <c r="B42" s="3">
        <v>0.0</v>
      </c>
      <c r="C42" s="3">
        <v>2.46</v>
      </c>
      <c r="D42" s="3">
        <v>2.8</v>
      </c>
      <c r="E42" s="3">
        <f>(B42*C42)*D42</f>
        <v>0</v>
      </c>
    </row>
    <row r="43" ht="14.25" customHeight="1"/>
    <row r="44" ht="14.25" customHeight="1"/>
    <row r="45" ht="14.25" customHeight="1">
      <c r="B45" s="12"/>
    </row>
    <row r="46" ht="14.25" customHeight="1">
      <c r="B46" s="12"/>
    </row>
    <row r="47" ht="14.25" customHeight="1">
      <c r="B47" s="12"/>
    </row>
    <row r="48" ht="14.25" customHeight="1">
      <c r="B48" s="12"/>
    </row>
    <row r="49" ht="14.25" customHeight="1">
      <c r="B49" s="40"/>
      <c r="C49" s="28"/>
    </row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38:E38"/>
  </mergeCells>
  <printOptions/>
  <pageMargins bottom="0.75" footer="0.0" header="0.0" left="0.7" right="0.7" top="0.75"/>
  <pageSetup paperSize="9" orientation="portrait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