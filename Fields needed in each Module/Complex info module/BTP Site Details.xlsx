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gmane Tech\"/>
    </mc:Choice>
  </mc:AlternateContent>
  <xr:revisionPtr revIDLastSave="0" documentId="13_ncr:1_{83019B63-2D95-4650-AD09-7AF2B7985FD1}" xr6:coauthVersionLast="47" xr6:coauthVersionMax="47" xr10:uidLastSave="{00000000-0000-0000-0000-000000000000}"/>
  <bookViews>
    <workbookView xWindow="-110" yWindow="-110" windowWidth="19420" windowHeight="10300" firstSheet="6" activeTab="9" xr2:uid="{00000000-000D-0000-FFFF-FFFF00000000}"/>
  </bookViews>
  <sheets>
    <sheet name="Parin" sheetId="11" r:id="rId1"/>
    <sheet name="Laurel" sheetId="5" r:id="rId2"/>
    <sheet name="Laurel 1" sheetId="13" r:id="rId3"/>
    <sheet name="Tridib" sheetId="2" r:id="rId4"/>
    <sheet name="Crown" sheetId="6" r:id="rId5"/>
    <sheet name="Quay" sheetId="7" r:id="rId6"/>
    <sheet name="Lakeview" sheetId="12" r:id="rId7"/>
    <sheet name="Lakeview Car Park Details" sheetId="16" r:id="rId8"/>
    <sheet name="Lakeview Car park Summary" sheetId="17" r:id="rId9"/>
    <sheet name="Olympia" sheetId="8" r:id="rId10"/>
    <sheet name="Commerz-1" sheetId="9" r:id="rId11"/>
    <sheet name="Commerz 1 Parking Details" sheetId="14" r:id="rId12"/>
    <sheet name="Commerz-2" sheetId="10" r:id="rId13"/>
    <sheet name="Commerz 2 Parking Details" sheetId="15" r:id="rId14"/>
  </sheets>
  <externalReferences>
    <externalReference r:id="rId15"/>
  </externalReferences>
  <definedNames>
    <definedName name="_xlnm._FilterDatabase" localSheetId="0" hidden="1">Parin!$A$44:$D$62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8" i="8" l="1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67" i="8"/>
  <c r="H15" i="11"/>
  <c r="M52" i="16"/>
  <c r="M51" i="16"/>
  <c r="L51" i="16"/>
  <c r="L50" i="16"/>
  <c r="L49" i="16"/>
  <c r="L47" i="16"/>
  <c r="I31" i="12"/>
  <c r="F80" i="12"/>
  <c r="D12" i="17" l="1"/>
  <c r="C12" i="17"/>
  <c r="H11" i="17"/>
  <c r="G11" i="17"/>
  <c r="H10" i="17"/>
  <c r="G10" i="17"/>
  <c r="H9" i="17"/>
  <c r="G9" i="17"/>
  <c r="E9" i="17"/>
  <c r="E12" i="17" s="1"/>
  <c r="H8" i="17"/>
  <c r="G8" i="17"/>
  <c r="H7" i="17"/>
  <c r="G7" i="17"/>
  <c r="H6" i="17"/>
  <c r="G6" i="17"/>
  <c r="H5" i="17"/>
  <c r="G5" i="17"/>
  <c r="G12" i="17" s="1"/>
  <c r="K4" i="16"/>
  <c r="H12" i="17" l="1"/>
  <c r="K24" i="12"/>
  <c r="H196" i="2" l="1"/>
  <c r="H197" i="2"/>
  <c r="H198" i="2"/>
  <c r="G198" i="2"/>
  <c r="G197" i="2"/>
  <c r="G196" i="2"/>
  <c r="H195" i="2"/>
  <c r="G195" i="2"/>
  <c r="H194" i="2"/>
  <c r="G194" i="2"/>
  <c r="H193" i="2"/>
  <c r="G193" i="2"/>
  <c r="H192" i="2"/>
  <c r="G192" i="2"/>
  <c r="G191" i="2" l="1"/>
  <c r="G190" i="2"/>
  <c r="H190" i="2"/>
  <c r="E10" i="12" l="1"/>
  <c r="D10" i="12"/>
  <c r="I28" i="9" l="1"/>
  <c r="J28" i="9"/>
  <c r="K28" i="9"/>
  <c r="L28" i="9"/>
  <c r="H28" i="9"/>
  <c r="D10" i="10" l="1"/>
  <c r="G98" i="10"/>
  <c r="D55" i="10"/>
  <c r="D54" i="10"/>
  <c r="D53" i="10"/>
  <c r="D52" i="10"/>
  <c r="D51" i="10"/>
  <c r="D50" i="10"/>
  <c r="D49" i="10"/>
  <c r="D48" i="10"/>
  <c r="D47" i="10"/>
  <c r="D46" i="10"/>
  <c r="D45" i="10"/>
  <c r="B34" i="10"/>
  <c r="G107" i="9"/>
  <c r="G106" i="9"/>
  <c r="G105" i="9"/>
  <c r="G104" i="9"/>
  <c r="G103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B32" i="9"/>
  <c r="D10" i="9"/>
  <c r="D59" i="8" l="1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B33" i="8"/>
  <c r="L27" i="8"/>
  <c r="K27" i="8"/>
  <c r="J27" i="8"/>
  <c r="I27" i="8"/>
  <c r="B116" i="6" l="1"/>
  <c r="G111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60" i="7" l="1"/>
  <c r="D59" i="7"/>
  <c r="D58" i="7"/>
  <c r="D57" i="7"/>
  <c r="D56" i="7"/>
  <c r="D55" i="7"/>
  <c r="D54" i="7"/>
  <c r="D53" i="7"/>
  <c r="D52" i="7"/>
  <c r="D51" i="7"/>
  <c r="D50" i="7"/>
  <c r="D49" i="7"/>
  <c r="D48" i="7"/>
  <c r="E10" i="7" l="1"/>
  <c r="D10" i="7"/>
  <c r="F129" i="2" l="1"/>
  <c r="H129" i="2"/>
  <c r="I129" i="2"/>
  <c r="J129" i="2"/>
  <c r="E129" i="2"/>
  <c r="J174" i="5"/>
  <c r="I174" i="5"/>
  <c r="H174" i="5"/>
  <c r="F174" i="5"/>
  <c r="E174" i="5"/>
  <c r="C67" i="11"/>
  <c r="B67" i="11"/>
  <c r="G112" i="11" l="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G106" i="12" l="1"/>
  <c r="G105" i="12"/>
  <c r="G104" i="12"/>
  <c r="G103" i="12"/>
  <c r="G102" i="12"/>
  <c r="G101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G173" i="5" l="1"/>
  <c r="G172" i="5"/>
  <c r="G171" i="5"/>
  <c r="G170" i="5"/>
  <c r="G169" i="5"/>
  <c r="G168" i="5"/>
  <c r="G167" i="5"/>
  <c r="G166" i="5"/>
  <c r="G165" i="5"/>
  <c r="G174" i="5" s="1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G122" i="2" l="1"/>
  <c r="G123" i="2"/>
  <c r="G124" i="2"/>
  <c r="G125" i="2"/>
  <c r="G126" i="2"/>
  <c r="G127" i="2"/>
  <c r="G128" i="2"/>
  <c r="G121" i="2" l="1"/>
  <c r="G129" i="2" s="1"/>
  <c r="D71" i="2" l="1"/>
  <c r="D70" i="2"/>
  <c r="D68" i="2"/>
  <c r="D69" i="2"/>
  <c r="D67" i="2"/>
  <c r="D62" i="2"/>
  <c r="D63" i="2"/>
  <c r="D64" i="2"/>
  <c r="D65" i="2"/>
  <c r="D66" i="2"/>
  <c r="D57" i="2"/>
  <c r="D55" i="2" l="1"/>
  <c r="D58" i="2"/>
  <c r="D59" i="2"/>
  <c r="D60" i="2"/>
  <c r="D61" i="2"/>
  <c r="D54" i="2"/>
  <c r="D53" i="2"/>
  <c r="D5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Crown Facility</author>
  </authors>
  <commentList>
    <comment ref="H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Building upgradtion was started on 2020</t>
        </r>
      </text>
    </comment>
    <comment ref="I9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Buiding upgradation completd on 2022</t>
        </r>
      </text>
    </comment>
    <comment ref="K9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Upgraded building handed over on 2022</t>
        </r>
      </text>
    </comment>
  </commentList>
</comments>
</file>

<file path=xl/sharedStrings.xml><?xml version="1.0" encoding="utf-8"?>
<sst xmlns="http://schemas.openxmlformats.org/spreadsheetml/2006/main" count="3798" uniqueCount="858">
  <si>
    <t>Cluster</t>
  </si>
  <si>
    <t>Site Code</t>
  </si>
  <si>
    <t>Country</t>
  </si>
  <si>
    <t>State</t>
  </si>
  <si>
    <t>Region</t>
  </si>
  <si>
    <t>Type of Site</t>
  </si>
  <si>
    <t>Climatic Zone</t>
  </si>
  <si>
    <t>Sector</t>
  </si>
  <si>
    <t>Entity Owner</t>
  </si>
  <si>
    <t>Percentage</t>
  </si>
  <si>
    <t>Building Name</t>
  </si>
  <si>
    <t>Building Type</t>
  </si>
  <si>
    <t>Green Certification</t>
  </si>
  <si>
    <t>Total Construction Area</t>
  </si>
  <si>
    <t>Total Saleable Area</t>
  </si>
  <si>
    <t>Total Landscaping Area</t>
  </si>
  <si>
    <t>Facade Area</t>
  </si>
  <si>
    <t>Building Construction Start Date</t>
  </si>
  <si>
    <t>Building Completion Date</t>
  </si>
  <si>
    <t>Building Handover Start Date</t>
  </si>
  <si>
    <t>Building Handover End Date</t>
  </si>
  <si>
    <t>Status</t>
  </si>
  <si>
    <t>Floor</t>
  </si>
  <si>
    <t>Floor Area (in sqft)</t>
  </si>
  <si>
    <t>Unit</t>
  </si>
  <si>
    <t>Type of Staircase</t>
  </si>
  <si>
    <t>Quantity</t>
  </si>
  <si>
    <t>Type of Shaft</t>
  </si>
  <si>
    <t>Type of Gate</t>
  </si>
  <si>
    <t>Type of Basement</t>
  </si>
  <si>
    <t>As Per Plan</t>
  </si>
  <si>
    <t>As Per Actual</t>
  </si>
  <si>
    <t>Stack</t>
  </si>
  <si>
    <t>Open</t>
  </si>
  <si>
    <t>Covered</t>
  </si>
  <si>
    <t>Visitor</t>
  </si>
  <si>
    <t>Reserved Parking</t>
  </si>
  <si>
    <t>2W EV Parking</t>
  </si>
  <si>
    <t>4W EV Parking</t>
  </si>
  <si>
    <t>Cluster Head</t>
  </si>
  <si>
    <t>Complex Head</t>
  </si>
  <si>
    <t>Building Manager</t>
  </si>
  <si>
    <t>Shift Manager</t>
  </si>
  <si>
    <t>Cluster Technical SME</t>
  </si>
  <si>
    <t>Cluster Soft SME</t>
  </si>
  <si>
    <t>Cluster QHSE SME</t>
  </si>
  <si>
    <t>Cluster Horti SME</t>
  </si>
  <si>
    <t>Cluster Security SME</t>
  </si>
  <si>
    <t>Cluster Transition SME</t>
  </si>
  <si>
    <t>Cluster HVAC SME</t>
  </si>
  <si>
    <t>Cluster Electrical SME</t>
  </si>
  <si>
    <t>Client Name</t>
  </si>
  <si>
    <t>Client Common Name</t>
  </si>
  <si>
    <t>Client Agreement Cost</t>
  </si>
  <si>
    <t>Agreement No</t>
  </si>
  <si>
    <t>No of Employee</t>
  </si>
  <si>
    <t>No of OutSource Staff</t>
  </si>
  <si>
    <t>Total Employees</t>
  </si>
  <si>
    <t>Parking as per agreement</t>
  </si>
  <si>
    <t>Free Parking</t>
  </si>
  <si>
    <t>Paid Parking</t>
  </si>
  <si>
    <t>Carpet Area(in sqft)</t>
  </si>
  <si>
    <t>Leased Area(in sqft)</t>
  </si>
  <si>
    <t>Super Built-up Area (in sqft)</t>
  </si>
  <si>
    <t>Employee Name</t>
  </si>
  <si>
    <t>Email</t>
  </si>
  <si>
    <t>Mobile</t>
  </si>
  <si>
    <t>Designation</t>
  </si>
  <si>
    <t>Parking Commercial Arrangement</t>
  </si>
  <si>
    <t>Parking Allocated</t>
  </si>
  <si>
    <t>Parking Location</t>
  </si>
  <si>
    <t>Type of Parking</t>
  </si>
  <si>
    <t>Type of connection</t>
  </si>
  <si>
    <t>No Of HT Meters</t>
  </si>
  <si>
    <t>Type Of Tarrif</t>
  </si>
  <si>
    <t>Service Provider</t>
  </si>
  <si>
    <t>STP-Methodology</t>
  </si>
  <si>
    <t>STP Capacity (KLD)</t>
  </si>
  <si>
    <t>Type of Air-condition</t>
  </si>
  <si>
    <t>Total HVAC Load (in TR)</t>
  </si>
  <si>
    <t>Type of Water Source</t>
  </si>
  <si>
    <t>Water Input (in KLD)</t>
  </si>
  <si>
    <t>Type of Water Tank</t>
  </si>
  <si>
    <t>Location of Tank</t>
  </si>
  <si>
    <t>Tank Capacity(in KL)</t>
  </si>
  <si>
    <t>Size of Tank(in cu.ft.)</t>
  </si>
  <si>
    <t>Sr No</t>
  </si>
  <si>
    <t>Site Detail</t>
  </si>
  <si>
    <t>India</t>
  </si>
  <si>
    <t>Moderate</t>
  </si>
  <si>
    <t>Office</t>
  </si>
  <si>
    <t>REIT</t>
  </si>
  <si>
    <t>Parking Floor Details</t>
  </si>
  <si>
    <t xml:space="preserve"> Floor Area Details</t>
  </si>
  <si>
    <t>Leased</t>
  </si>
  <si>
    <t>Plumbing</t>
  </si>
  <si>
    <t>HVAC</t>
  </si>
  <si>
    <t>Entry Gate</t>
  </si>
  <si>
    <t>Exit Gate</t>
  </si>
  <si>
    <t>Site Organogram Details</t>
  </si>
  <si>
    <t>Tenant Details</t>
  </si>
  <si>
    <t xml:space="preserve"> Tenant Floor Details</t>
  </si>
  <si>
    <t>Parking Bifurcation</t>
  </si>
  <si>
    <t>Site Operational Details</t>
  </si>
  <si>
    <t xml:space="preserve"> Air-condition Details</t>
  </si>
  <si>
    <t xml:space="preserve"> Water Tank Details</t>
  </si>
  <si>
    <t>STP</t>
  </si>
  <si>
    <t>Site Address</t>
  </si>
  <si>
    <t>Multiple selection of Building &amp; Floor</t>
  </si>
  <si>
    <t>Additional Parking Floor Details</t>
  </si>
  <si>
    <t>Karnataka</t>
  </si>
  <si>
    <t>12,319.56 Sq. Mtrs.</t>
  </si>
  <si>
    <t>10,040.18 Sq. Mtrs.</t>
  </si>
  <si>
    <t>12,168.35 Sq. Mtrs.</t>
  </si>
  <si>
    <t>11,379.50 Sq. Mtrs.</t>
  </si>
  <si>
    <t>Manjunath KN</t>
  </si>
  <si>
    <t>Deepak Mulley</t>
  </si>
  <si>
    <t>Basement 3</t>
  </si>
  <si>
    <t>Basement 2</t>
  </si>
  <si>
    <t>Basement 1</t>
  </si>
  <si>
    <t>Office Block</t>
  </si>
  <si>
    <t>Common</t>
  </si>
  <si>
    <t>Contract Demand (KVA)</t>
  </si>
  <si>
    <t>Maximum Demand (KVA)</t>
  </si>
  <si>
    <t>Billing Demand (KVA)</t>
  </si>
  <si>
    <t>Sanction Load(KVA)</t>
  </si>
  <si>
    <t>Connected Load (KVA)</t>
  </si>
  <si>
    <t>BESCOM</t>
  </si>
  <si>
    <t>Tanker</t>
  </si>
  <si>
    <t>Borewell</t>
  </si>
  <si>
    <t>Fire Water tank-1</t>
  </si>
  <si>
    <t>Basement-2</t>
  </si>
  <si>
    <t>Fire Water tank-2</t>
  </si>
  <si>
    <t>Raw Water tank</t>
  </si>
  <si>
    <t>Treated Water tank</t>
  </si>
  <si>
    <t>Terrace</t>
  </si>
  <si>
    <t>Staircase</t>
  </si>
  <si>
    <t>Vendor Movement Gate</t>
  </si>
  <si>
    <t>Area (Sq. Ft)</t>
  </si>
  <si>
    <t>Rajashekar AS</t>
  </si>
  <si>
    <t>HT - Office Block</t>
  </si>
  <si>
    <t xml:space="preserve">15. UG STP WATER TANK </t>
  </si>
  <si>
    <t>16. Raw, 348Kl</t>
  </si>
  <si>
    <t>17. Pre irrigation tank,01, 75Kld</t>
  </si>
  <si>
    <t>18. Pre irrigation tank,02, 75Kld</t>
  </si>
  <si>
    <t>19. Pre irrigation tank 03, 75Kld</t>
  </si>
  <si>
    <t>20. Pre irrigation tank,04 75Kld</t>
  </si>
  <si>
    <t>21. Irrigation tank 01, 192Kl</t>
  </si>
  <si>
    <t xml:space="preserve">22. Irrigation tank 02, 192kld </t>
  </si>
  <si>
    <t xml:space="preserve">23. Irrigation tank 03, 192Kld </t>
  </si>
  <si>
    <t>24. Irrigation tank 04, 192Kld</t>
  </si>
  <si>
    <t>25. Decant  tank 340Kl</t>
  </si>
  <si>
    <t>26. Sludge holding tank 116Kl</t>
  </si>
  <si>
    <t>27. Final tank 160</t>
  </si>
  <si>
    <t>28. Makeup tank ,132 Kl</t>
  </si>
  <si>
    <t>29. US treated water tank,116 Kl</t>
  </si>
  <si>
    <t>30. UB, OHT makeup tank ,50Kld</t>
  </si>
  <si>
    <t>Domestic Treated Water tank - 1</t>
  </si>
  <si>
    <t>Domestic Treated Water tank - 2</t>
  </si>
  <si>
    <t>STP Raw Water Tank</t>
  </si>
  <si>
    <t>STP Sludge Holding tank</t>
  </si>
  <si>
    <t>IDF (Communication)</t>
  </si>
  <si>
    <t>Electrical</t>
  </si>
  <si>
    <t>Fire</t>
  </si>
  <si>
    <t>Ventilation (Pressurization)</t>
  </si>
  <si>
    <t>HSD Yard Gate</t>
  </si>
  <si>
    <t>Building Entry Exit Gates</t>
  </si>
  <si>
    <t>No Of Ammeters</t>
  </si>
  <si>
    <t>No Of Voltmeters</t>
  </si>
  <si>
    <t>No Of LT Meters (KWH)</t>
  </si>
  <si>
    <t>General Shafts (Empty)</t>
  </si>
  <si>
    <t>Water Cooled Chiller (2 Nos.)</t>
  </si>
  <si>
    <t>Air Cooled Chiller (3 Nos.)</t>
  </si>
  <si>
    <t>-</t>
  </si>
  <si>
    <t xml:space="preserve">Carpet Area + Service Area + Balcony </t>
  </si>
  <si>
    <t xml:space="preserve">SBU </t>
  </si>
  <si>
    <t xml:space="preserve">(sqft) </t>
  </si>
  <si>
    <t>As per Fire NOC</t>
  </si>
  <si>
    <t>Paid</t>
  </si>
  <si>
    <t>Rajshekar A S</t>
  </si>
  <si>
    <t>Raghu B T</t>
  </si>
  <si>
    <t>Saravanan R M</t>
  </si>
  <si>
    <t>Tridib</t>
  </si>
  <si>
    <t>M/s Bagmane Developers Pvt. Ltd.
Bagmane Tech Park, CV Raman Nagar-560093</t>
  </si>
  <si>
    <t>Multi-Tenant</t>
  </si>
  <si>
    <t>Bagmane Developers Pvt Ltd</t>
  </si>
  <si>
    <t>East</t>
  </si>
  <si>
    <t>NA</t>
  </si>
  <si>
    <t>177636 sq.ft</t>
  </si>
  <si>
    <t>567991 Sq. ft.</t>
  </si>
  <si>
    <t>14414.31 sq.ft</t>
  </si>
  <si>
    <t>Ground floor-A Block</t>
  </si>
  <si>
    <t>1st floor-A Block</t>
  </si>
  <si>
    <t>2nd floor-A Block</t>
  </si>
  <si>
    <t>3rd floor-A Block</t>
  </si>
  <si>
    <t>4th floor-A Block</t>
  </si>
  <si>
    <t>5th floor-A Block</t>
  </si>
  <si>
    <t>6th floor-A Block</t>
  </si>
  <si>
    <t>7th floor-A Block</t>
  </si>
  <si>
    <t>Ground floor-B Block</t>
  </si>
  <si>
    <t>1st floor-B Block</t>
  </si>
  <si>
    <t>2nd floor-B Block</t>
  </si>
  <si>
    <t>3rd floor-B Block</t>
  </si>
  <si>
    <t>4th floor-B Block</t>
  </si>
  <si>
    <t>5th floor-B Block</t>
  </si>
  <si>
    <t>6th floor-B Block</t>
  </si>
  <si>
    <t>7th floor-B Block</t>
  </si>
  <si>
    <t>Lower Baement-parking</t>
  </si>
  <si>
    <t>Upper Basement-parking</t>
  </si>
  <si>
    <t>Terrace-café</t>
  </si>
  <si>
    <t>Commercial-HT2B1</t>
  </si>
  <si>
    <t>ASP</t>
  </si>
  <si>
    <t>200 KLD</t>
  </si>
  <si>
    <t>Water Source Details-Per Day</t>
  </si>
  <si>
    <t>Flushing water tank-1</t>
  </si>
  <si>
    <t>Flushing water tank-2</t>
  </si>
  <si>
    <t>STP Aeriation tank</t>
  </si>
  <si>
    <t>STP secondary clarifier</t>
  </si>
  <si>
    <t>STP Pre filter tank</t>
  </si>
  <si>
    <t>STP final water tank</t>
  </si>
  <si>
    <t>Storm water tank #1</t>
  </si>
  <si>
    <t>Storm water tank #3</t>
  </si>
  <si>
    <t>Storm water tank #2</t>
  </si>
  <si>
    <t>Storm water tank #4</t>
  </si>
  <si>
    <t>Subramani S</t>
  </si>
  <si>
    <t xml:space="preserve">Keshava Moorthy </t>
  </si>
  <si>
    <t>Venkatesh S</t>
  </si>
  <si>
    <t>Sharan</t>
  </si>
  <si>
    <t>Karunakaran</t>
  </si>
  <si>
    <t>Volvo</t>
  </si>
  <si>
    <t>Grant Thornton</t>
  </si>
  <si>
    <t>Ivanti</t>
  </si>
  <si>
    <t>Boeing</t>
  </si>
  <si>
    <t>CME</t>
  </si>
  <si>
    <t>Kronos</t>
  </si>
  <si>
    <t>Texas Instrument</t>
  </si>
  <si>
    <t xml:space="preserve">Grant Thornton-India </t>
  </si>
  <si>
    <t>Boeing India</t>
  </si>
  <si>
    <t>CME Group</t>
  </si>
  <si>
    <t>Texas Instruments</t>
  </si>
  <si>
    <t>Grant Thornton US</t>
  </si>
  <si>
    <t>Walker Chandiok - GT India</t>
  </si>
  <si>
    <t>Rajnish</t>
  </si>
  <si>
    <t>Anjani Maddikunta</t>
  </si>
  <si>
    <t>Vishwanath NK</t>
  </si>
  <si>
    <t>Anusha</t>
  </si>
  <si>
    <t>Arun H R</t>
  </si>
  <si>
    <t>Arpitha</t>
  </si>
  <si>
    <t>vinod.ugare@volvo.com</t>
  </si>
  <si>
    <t>rajanish.lg@ti.com</t>
  </si>
  <si>
    <t>Anjani.Maddikunta@ivanti.com</t>
  </si>
  <si>
    <t>Vishwanath.NK@us.gt.com</t>
  </si>
  <si>
    <t>Sandosh.Kumar@IN.GT.COM</t>
  </si>
  <si>
    <t>anusha.arun@cmegroup.com</t>
  </si>
  <si>
    <t>arun.hr@kronos.com</t>
  </si>
  <si>
    <t>arpitha.hanumanthappa@boeing.com</t>
  </si>
  <si>
    <t>98865 34771</t>
  </si>
  <si>
    <t>702 284 2174</t>
  </si>
  <si>
    <t>8105350591</t>
  </si>
  <si>
    <t>RE Head</t>
  </si>
  <si>
    <t>Facility In-charge</t>
  </si>
  <si>
    <t>Admin Manager</t>
  </si>
  <si>
    <t>Account Manager</t>
  </si>
  <si>
    <t>RE-Manager</t>
  </si>
  <si>
    <t>External</t>
  </si>
  <si>
    <t>Surface</t>
  </si>
  <si>
    <t>6320 Sq. Mtrs.</t>
  </si>
  <si>
    <t>5931 Sq. Mtrs.</t>
  </si>
  <si>
    <t>6074 Sq. Mtrs.</t>
  </si>
  <si>
    <t>9592 Sq.Mtrs</t>
  </si>
  <si>
    <t>63652.40 Sq. mtrs.</t>
  </si>
  <si>
    <t>Laurel</t>
  </si>
  <si>
    <t>M/s Bagmane Developers Pvt. Ltd.
Bagmane Tech Park, CV Ramana Nagar
Bangalore-560093</t>
  </si>
  <si>
    <t>Bagmane Developers Pvt. Ltd.</t>
  </si>
  <si>
    <t>LAUREL</t>
  </si>
  <si>
    <t>71943.02 Sq. mtrs.</t>
  </si>
  <si>
    <t>24000 sq.ft</t>
  </si>
  <si>
    <t>99897 sq.ft</t>
  </si>
  <si>
    <t>Utility Block</t>
  </si>
  <si>
    <t>Ground Floor</t>
  </si>
  <si>
    <t>1st floor</t>
  </si>
  <si>
    <t>2nd floor</t>
  </si>
  <si>
    <t>3rd floor</t>
  </si>
  <si>
    <t xml:space="preserve">Office Block </t>
  </si>
  <si>
    <t>Ground floor</t>
  </si>
  <si>
    <t>Office Block - A Block</t>
  </si>
  <si>
    <t>Office Block- A Block</t>
  </si>
  <si>
    <t>4th floor</t>
  </si>
  <si>
    <t>5th floor</t>
  </si>
  <si>
    <t>6th floor</t>
  </si>
  <si>
    <t>7th floor</t>
  </si>
  <si>
    <t>8th floor</t>
  </si>
  <si>
    <t>Office Block - B Block</t>
  </si>
  <si>
    <t>Office Block- B Block</t>
  </si>
  <si>
    <t>Office Block - C Block</t>
  </si>
  <si>
    <t>Office Block - D Block</t>
  </si>
  <si>
    <t>MBR</t>
  </si>
  <si>
    <t>Air Cooled Chiller (5 Nos.)</t>
  </si>
  <si>
    <t>Water Source Details</t>
  </si>
  <si>
    <t>Basement-1</t>
  </si>
  <si>
    <t>Raw Water tank #1</t>
  </si>
  <si>
    <t>Raw Water tank #2</t>
  </si>
  <si>
    <t>Treated water tank #1</t>
  </si>
  <si>
    <t>Ground</t>
  </si>
  <si>
    <t>Treated water tank #2</t>
  </si>
  <si>
    <t>Flushing water tank #1</t>
  </si>
  <si>
    <t>Flushing water tank #2</t>
  </si>
  <si>
    <t>STP Pre irrigation tank-01</t>
  </si>
  <si>
    <t>STP Pre irrigation tank-02</t>
  </si>
  <si>
    <t>STP Pre irrigation tank-03</t>
  </si>
  <si>
    <t>STP Pre irrigation tank-04</t>
  </si>
  <si>
    <t>STP Irrigation tank-01</t>
  </si>
  <si>
    <t>STP Irrigation tank-02</t>
  </si>
  <si>
    <t>STP Irrigation tank-03</t>
  </si>
  <si>
    <t>STP Irrigation tank-04</t>
  </si>
  <si>
    <t>STP Decant tank</t>
  </si>
  <si>
    <t>STP Final tank</t>
  </si>
  <si>
    <t>STP Makeup tank</t>
  </si>
  <si>
    <t>US Treated water tank</t>
  </si>
  <si>
    <t>UB OHT Makeup tank</t>
  </si>
  <si>
    <t>Terrace - Utility Block</t>
  </si>
  <si>
    <t>Open Text</t>
  </si>
  <si>
    <t>Infenion</t>
  </si>
  <si>
    <t>Informatica</t>
  </si>
  <si>
    <t>Mphasis</t>
  </si>
  <si>
    <t>Dover</t>
  </si>
  <si>
    <t>Sima</t>
  </si>
  <si>
    <t>Rhom</t>
  </si>
  <si>
    <t>Mitsogo</t>
  </si>
  <si>
    <t>Bishan.Ganapathy@mphasis.com</t>
  </si>
  <si>
    <t>Facility Head</t>
  </si>
  <si>
    <t>Micro Focus</t>
  </si>
  <si>
    <t>tejus.mahendra@microfocus.com</t>
  </si>
  <si>
    <t>Admin Head</t>
  </si>
  <si>
    <t>chs@dovertech.co.in</t>
  </si>
  <si>
    <t>ROHM</t>
  </si>
  <si>
    <t>sathya@rohm.in</t>
  </si>
  <si>
    <t>99804 24155</t>
  </si>
  <si>
    <t>Cypress/Infineon</t>
  </si>
  <si>
    <t>akshy.hegde@infineon.com</t>
  </si>
  <si>
    <t>SiMa.ai</t>
  </si>
  <si>
    <t>sudershan.vuruputoor@sima.ai</t>
  </si>
  <si>
    <t>binoy.balan@mitsogo.com</t>
  </si>
  <si>
    <t>sursingh@informatica.com</t>
  </si>
  <si>
    <t>Subramani</t>
  </si>
  <si>
    <t>Keshava Moorthy</t>
  </si>
  <si>
    <t>Venkatesh</t>
  </si>
  <si>
    <t>Pandi Murali</t>
  </si>
  <si>
    <t>BTP</t>
  </si>
  <si>
    <t>M/s Bagmane Developers Pvt. Ltd.
CV Raman nagara, Bangalore - 560093</t>
  </si>
  <si>
    <t>Singe Tenant</t>
  </si>
  <si>
    <t>Bagmane developers Private Limited (BRPL)</t>
  </si>
  <si>
    <t>Crown</t>
  </si>
  <si>
    <t>LEED</t>
  </si>
  <si>
    <t xml:space="preserve">Lab Area </t>
  </si>
  <si>
    <t>SFT</t>
  </si>
  <si>
    <t>4338.10 Sq.mts</t>
  </si>
  <si>
    <t>Parking Area</t>
  </si>
  <si>
    <t>4447.67 Sq.mts</t>
  </si>
  <si>
    <t>Office Block &amp; Café</t>
  </si>
  <si>
    <t>3670.02 Sq. mtrs.</t>
  </si>
  <si>
    <t>2821.00 Sq. mtrs.</t>
  </si>
  <si>
    <t>2821.00  Sq. mtrs.</t>
  </si>
  <si>
    <t>Office Block &amp; Refuge</t>
  </si>
  <si>
    <t>HT - Utility Block</t>
  </si>
  <si>
    <t>Commercial-S7HT51</t>
  </si>
  <si>
    <t>Water Cooled Chiller (1 Nos.)</t>
  </si>
  <si>
    <t>Air Cooled Chiller (1 Nos.)</t>
  </si>
  <si>
    <t xml:space="preserve">Ground floor </t>
  </si>
  <si>
    <t xml:space="preserve">Buffer tank </t>
  </si>
  <si>
    <t>Domestic Treated Water tank - 3</t>
  </si>
  <si>
    <t>Flushing Tank - 1</t>
  </si>
  <si>
    <t>Flushing Tank - 2</t>
  </si>
  <si>
    <t>Makeup tank - Cooling Tower</t>
  </si>
  <si>
    <t xml:space="preserve">STP MBR Tank </t>
  </si>
  <si>
    <t>Equalation tank</t>
  </si>
  <si>
    <t>Anoxic tank</t>
  </si>
  <si>
    <t>Aeration tank</t>
  </si>
  <si>
    <t>MLCP</t>
  </si>
  <si>
    <t>M/S Lam research</t>
  </si>
  <si>
    <t>Single</t>
  </si>
  <si>
    <t>1st Floor</t>
  </si>
  <si>
    <t>M/S Lam resesrch</t>
  </si>
  <si>
    <t>Rathis Kumar</t>
  </si>
  <si>
    <t>Rathiskumar.Selvaraj@lamresearch.com</t>
  </si>
  <si>
    <t>Operation Head</t>
  </si>
  <si>
    <t>Lakshmikantha T</t>
  </si>
  <si>
    <t>Raghu</t>
  </si>
  <si>
    <t>Karanakar</t>
  </si>
  <si>
    <t>Pandi murali</t>
  </si>
  <si>
    <t>Quay</t>
  </si>
  <si>
    <t xml:space="preserve">Bagmane Developers Pvt. Ltd.
Laurel ’B’ Block, 5th Floor,
Bagmane Tech Park, C V Raman Nagar,
Bangalore – 560 093
</t>
  </si>
  <si>
    <t>South</t>
  </si>
  <si>
    <t>Multi Tenant</t>
  </si>
  <si>
    <t>Bagmane Quay Private Limited (BQPL)</t>
  </si>
  <si>
    <t>LEED-Gold</t>
  </si>
  <si>
    <t xml:space="preserve"> 850192.17 Sq. mtrs.</t>
  </si>
  <si>
    <t>61263 Sq. mtrs.</t>
  </si>
  <si>
    <t>15923.08 sq.ft</t>
  </si>
  <si>
    <t>1050289 sq.ft</t>
  </si>
  <si>
    <t>4254 Sq. Mtrs.</t>
  </si>
  <si>
    <t>4137 Sq. Mtrs.</t>
  </si>
  <si>
    <t>5989 Sq. Mtrs.</t>
  </si>
  <si>
    <t>9th floor</t>
  </si>
  <si>
    <t>1334 Sq. Mtrs.</t>
  </si>
  <si>
    <t>Basement-3</t>
  </si>
  <si>
    <t>7720 Sq. Mtrs.</t>
  </si>
  <si>
    <t>7283 Sq. Mtrs.</t>
  </si>
  <si>
    <t>7630 Sq. Mtrs.</t>
  </si>
  <si>
    <t>Commercial-HT2B</t>
  </si>
  <si>
    <t>MBBR</t>
  </si>
  <si>
    <t>Fire water tank - 1</t>
  </si>
  <si>
    <t>Fire water tank - 2</t>
  </si>
  <si>
    <t>Raw water tank</t>
  </si>
  <si>
    <t>Treated water tank</t>
  </si>
  <si>
    <t>Rain water tank</t>
  </si>
  <si>
    <t>Fire water tank</t>
  </si>
  <si>
    <t>Flushing water tank</t>
  </si>
  <si>
    <t>Makeup tank (HVAC)</t>
  </si>
  <si>
    <t>STP treated water tank</t>
  </si>
  <si>
    <t>Storm water sump-1</t>
  </si>
  <si>
    <t>Storm water sump-2</t>
  </si>
  <si>
    <t>Storm water sump-3</t>
  </si>
  <si>
    <t>Palo alto</t>
  </si>
  <si>
    <t>PWC</t>
  </si>
  <si>
    <t>Moodys</t>
  </si>
  <si>
    <t>Cardinal Health</t>
  </si>
  <si>
    <t>Commvault</t>
  </si>
  <si>
    <t>Surface area</t>
  </si>
  <si>
    <t>Laurel MLCP</t>
  </si>
  <si>
    <t xml:space="preserve">Laurel Surface area </t>
  </si>
  <si>
    <t>Khurshid</t>
  </si>
  <si>
    <t>kanjum@paloaltonetworks.com</t>
  </si>
  <si>
    <t>Director, Workplace Resources </t>
  </si>
  <si>
    <t>Sumanth</t>
  </si>
  <si>
    <t>sumanth.pathapati@pwc.com</t>
  </si>
  <si>
    <t>VP</t>
  </si>
  <si>
    <t>Varma</t>
  </si>
  <si>
    <t>Aditi.Varma@moodys.com</t>
  </si>
  <si>
    <t>AVP</t>
  </si>
  <si>
    <t>Asifa</t>
  </si>
  <si>
    <t>asifa.begum@cardinalhealth.com</t>
  </si>
  <si>
    <t>Head, Facilities</t>
  </si>
  <si>
    <t>Dinesh</t>
  </si>
  <si>
    <t>dineshs@commvault.com</t>
  </si>
  <si>
    <t>FM</t>
  </si>
  <si>
    <t>Suresh HM</t>
  </si>
  <si>
    <t>Venkatesh Subramani</t>
  </si>
  <si>
    <t>Charan</t>
  </si>
  <si>
    <t>Suresh</t>
  </si>
  <si>
    <t xml:space="preserve">Olympia </t>
  </si>
  <si>
    <t xml:space="preserve">M/s Bagmane Developers Pvt. Ltd. Olympia 
Khata No66-1, Bagmane tech park, CV Raman nagar, Byrasandra village, KR puram </t>
  </si>
  <si>
    <t>Bagmane Developers Private Ltd</t>
  </si>
  <si>
    <t>Olympia</t>
  </si>
  <si>
    <t>330333 Sq feet</t>
  </si>
  <si>
    <t>27351.06(in sqft)</t>
  </si>
  <si>
    <t>87699(in sqft)</t>
  </si>
  <si>
    <t>4054.10 Sq. mtrs.</t>
  </si>
  <si>
    <t>4646.40 Sq. mtrs.</t>
  </si>
  <si>
    <t>3706.19 Sq. Mtrs.</t>
  </si>
  <si>
    <t>3772.47Sq. Mtrs.</t>
  </si>
  <si>
    <t>3838.76 Sq. Mtrs.</t>
  </si>
  <si>
    <t>3943.54 Sq. Mtrs.</t>
  </si>
  <si>
    <t>4477.64 Sq. Mtrs</t>
  </si>
  <si>
    <t xml:space="preserve">Water Cooled Chiller </t>
  </si>
  <si>
    <t>1057KL</t>
  </si>
  <si>
    <t>1350KL</t>
  </si>
  <si>
    <t>Terrace OHT</t>
  </si>
  <si>
    <t>Fire Water tank-2 Sump</t>
  </si>
  <si>
    <t>Rain Water tank - 1</t>
  </si>
  <si>
    <t>STP Flushing tank</t>
  </si>
  <si>
    <t>Domestic tank</t>
  </si>
  <si>
    <t xml:space="preserve">Chiller makeup tank </t>
  </si>
  <si>
    <t>Fire sump</t>
  </si>
  <si>
    <t xml:space="preserve">MLCP Ground floor </t>
  </si>
  <si>
    <t>MLCP Ground floor OHT</t>
  </si>
  <si>
    <t>MLCP Terrace</t>
  </si>
  <si>
    <t xml:space="preserve">STP Equalization tank </t>
  </si>
  <si>
    <t>Olympia STP</t>
  </si>
  <si>
    <t xml:space="preserve">STP Aeration tank </t>
  </si>
  <si>
    <t>STP Clarifier tank</t>
  </si>
  <si>
    <t xml:space="preserve">STP siudge holding tank </t>
  </si>
  <si>
    <t xml:space="preserve">STP final water tank </t>
  </si>
  <si>
    <t xml:space="preserve">MLCP Ground floor to 6th floor </t>
  </si>
  <si>
    <t>MLCP GF Floor</t>
  </si>
  <si>
    <t>MLCP 1st Floor</t>
  </si>
  <si>
    <t>MLCP 2nd Floor</t>
  </si>
  <si>
    <t>MLCP 3rd Floor</t>
  </si>
  <si>
    <t>MLCP 4th Floor</t>
  </si>
  <si>
    <t>MLCP 5th Floor</t>
  </si>
  <si>
    <t>MLCP 6th Floor</t>
  </si>
  <si>
    <t>GF Floor</t>
  </si>
  <si>
    <t xml:space="preserve">Open text </t>
  </si>
  <si>
    <t>Tejus Mahendra</t>
  </si>
  <si>
    <t>tmahendra@opentext.com</t>
  </si>
  <si>
    <t>Blore Head</t>
  </si>
  <si>
    <t>Motorola</t>
  </si>
  <si>
    <t>Paramesh</t>
  </si>
  <si>
    <t>paramesh@motorola.com</t>
  </si>
  <si>
    <t>Assistant Manager</t>
  </si>
  <si>
    <t xml:space="preserve">Nike  </t>
  </si>
  <si>
    <t>Srinivas</t>
  </si>
  <si>
    <t>Subramaniyam.Srinivasan@nike.com</t>
  </si>
  <si>
    <t>Facility Manager</t>
  </si>
  <si>
    <t>Vivero pre school</t>
  </si>
  <si>
    <t>Prashant</t>
  </si>
  <si>
    <t>prashant.mathur@viverointernational.com</t>
  </si>
  <si>
    <t>Kiran Kumar HT</t>
  </si>
  <si>
    <t>Charan B</t>
  </si>
  <si>
    <t>Sharan AM</t>
  </si>
  <si>
    <t>Commerz</t>
  </si>
  <si>
    <t>M/s Bagmane Developers Pvt Ltd 66/1-3, Commerz - I Building (Retail - I), Bagmane Tech Park, CV Raman Nagar, Bengaluru-560093</t>
  </si>
  <si>
    <t>Bagmane Developers Private Limited</t>
  </si>
  <si>
    <t>Commerz-1</t>
  </si>
  <si>
    <t>21252.95 Sq. mtrs.</t>
  </si>
  <si>
    <t>2332.91 Sq. mtrs.</t>
  </si>
  <si>
    <t>2461.78 Sq. mtrs.</t>
  </si>
  <si>
    <t xml:space="preserve"> 2332.91 Sq. mtrs.</t>
  </si>
  <si>
    <t xml:space="preserve"> 2396.27 Sq. mtrs.</t>
  </si>
  <si>
    <t xml:space="preserve"> 2271.95 Sq. mtrs.</t>
  </si>
  <si>
    <t xml:space="preserve">  2222.18 Sq. Mtrs.</t>
  </si>
  <si>
    <t xml:space="preserve"> 2000.95 Sq. Mtrs.</t>
  </si>
  <si>
    <t>Upper Basement</t>
  </si>
  <si>
    <t>2617 Sq. Mtrs.</t>
  </si>
  <si>
    <t>Lower Basement</t>
  </si>
  <si>
    <t>HT - Commerz-1</t>
  </si>
  <si>
    <t>Air Cooled Chiller (6 Nos.)</t>
  </si>
  <si>
    <t>Water Source Details (Monthly)</t>
  </si>
  <si>
    <t>Makeup tank - Flushing</t>
  </si>
  <si>
    <t>STP Raw (Equalisation Water Tank-1</t>
  </si>
  <si>
    <t>STP Aeration Tank</t>
  </si>
  <si>
    <t>STP Anoxic Tank</t>
  </si>
  <si>
    <t>STP MBR Tank</t>
  </si>
  <si>
    <t>STP CIP Tank</t>
  </si>
  <si>
    <t>Upper basement</t>
  </si>
  <si>
    <t>Lower basement</t>
  </si>
  <si>
    <t>Carpet Area(in sqft) (As per Fire Noc)</t>
  </si>
  <si>
    <t>Cisco</t>
  </si>
  <si>
    <t>Vialto</t>
  </si>
  <si>
    <t>State Bank of India</t>
  </si>
  <si>
    <t>Union Bank of India</t>
  </si>
  <si>
    <t>Food court outlets</t>
  </si>
  <si>
    <t>Kallendra Jayaram</t>
  </si>
  <si>
    <t>kjayaram@informatica.com</t>
  </si>
  <si>
    <t>Sr Manager</t>
  </si>
  <si>
    <t>Surendranath Singh</t>
  </si>
  <si>
    <t xml:space="preserve">96736 99991 </t>
  </si>
  <si>
    <t>Senior Director</t>
  </si>
  <si>
    <t>Raju Thakuri</t>
  </si>
  <si>
    <t>rthakuri@cisco.com</t>
  </si>
  <si>
    <t>Naveen Basco</t>
  </si>
  <si>
    <t>naveen.basco@vialto.com</t>
  </si>
  <si>
    <t>Manager</t>
  </si>
  <si>
    <t>Vivek Yadav</t>
  </si>
  <si>
    <t>sbi.11348@sbi.co.in</t>
  </si>
  <si>
    <t>Branch Manager</t>
  </si>
  <si>
    <t>Yogesh Singh</t>
  </si>
  <si>
    <t>ubin0920657@unionbankofindia.bank</t>
  </si>
  <si>
    <t>Nitin V Nair</t>
  </si>
  <si>
    <t>M/s Bgmane Developers Pvt Ltd 66/1-3 - Commerz 2, Commerz Bagmane Tech park Byrasandra CV Raman Nagar-560093</t>
  </si>
  <si>
    <t>Single Tenant</t>
  </si>
  <si>
    <t>Commerz-2</t>
  </si>
  <si>
    <t>LEED-Platinum</t>
  </si>
  <si>
    <t>220326.48 Sq. mtrs.</t>
  </si>
  <si>
    <t>1267 Sq. mtrs.</t>
  </si>
  <si>
    <t>1287 Sq. mtrs.</t>
  </si>
  <si>
    <t>2405 Sq. mtrs.</t>
  </si>
  <si>
    <t>2369 Sq. mtrs</t>
  </si>
  <si>
    <t>HT - Commerz-2</t>
  </si>
  <si>
    <t>Industrial-HT2A</t>
  </si>
  <si>
    <t>SBR</t>
  </si>
  <si>
    <t>Air Cooled Chiller (2 Nos.)</t>
  </si>
  <si>
    <t>STP Aeration Tank-1</t>
  </si>
  <si>
    <t>STP Aeration Tank-2</t>
  </si>
  <si>
    <t>STP Garden tank</t>
  </si>
  <si>
    <t>4th Floor</t>
  </si>
  <si>
    <t>3rd Floor</t>
  </si>
  <si>
    <t>2nd Floor</t>
  </si>
  <si>
    <t>Ventilation (Exhaust)</t>
  </si>
  <si>
    <t>Carpet Area(in sqft) (As per Fire NOC)</t>
  </si>
  <si>
    <t>Parin</t>
  </si>
  <si>
    <t>M/s Bagmane Developers Pvt. Ltd.
CV raman nagar, Bangalore - 560093</t>
  </si>
  <si>
    <t>BDPL</t>
  </si>
  <si>
    <t>44520.716 Sq. mtrs.</t>
  </si>
  <si>
    <t>6500 sq.ft</t>
  </si>
  <si>
    <t>112003 sq.ft</t>
  </si>
  <si>
    <t>1,491.17 Sq. mtrs.</t>
  </si>
  <si>
    <t>448.31 Sq. mtrs.</t>
  </si>
  <si>
    <t>1,432.29 Sq. mtrs.</t>
  </si>
  <si>
    <t>1,362.50 Sq. mtrs.</t>
  </si>
  <si>
    <t>62.05 Sq. mtrs.</t>
  </si>
  <si>
    <t>2,092.55 Sq. Mtrs.</t>
  </si>
  <si>
    <t>HT - Parin A Block</t>
  </si>
  <si>
    <t>1 HT2B</t>
  </si>
  <si>
    <t>HT - Parin B Block</t>
  </si>
  <si>
    <t>Air Cooled Chiller (2 Nos.)(A block)</t>
  </si>
  <si>
    <t>Fire Water tank-1 (A block)</t>
  </si>
  <si>
    <t>Fire Water tank-2 (B block)</t>
  </si>
  <si>
    <t>Raw Water tank-1 (A block)</t>
  </si>
  <si>
    <t>Raw Water tank-2 (B block)</t>
  </si>
  <si>
    <t>Treated Water tank-1 (A block)</t>
  </si>
  <si>
    <t>Treated Water tank-2 (B block)</t>
  </si>
  <si>
    <t>STP- Flushing-1</t>
  </si>
  <si>
    <t>STP- Flushing-2</t>
  </si>
  <si>
    <t>STP MBR tank</t>
  </si>
  <si>
    <t>STP Anoxic tank</t>
  </si>
  <si>
    <t>STP Arriation tank</t>
  </si>
  <si>
    <t>Parin(A block)</t>
  </si>
  <si>
    <t>Data from DBR for reference</t>
  </si>
  <si>
    <t>SBU - PHE</t>
  </si>
  <si>
    <t>Sq.ft</t>
  </si>
  <si>
    <t>Sq.Mts</t>
  </si>
  <si>
    <t>Mr. Vinod Ugare</t>
  </si>
  <si>
    <t>Admin</t>
  </si>
  <si>
    <t>Dell</t>
  </si>
  <si>
    <t>Mr. Suresh</t>
  </si>
  <si>
    <t>Ramesh Paul S</t>
  </si>
  <si>
    <t>Prasad BS</t>
  </si>
  <si>
    <t>M/s Bagmane Developers Pvt. Ltd.  Laurel 'B' Block,5th Floor,Bagmane Tech Park,C V Raman Nagar,Bangalore 560093</t>
  </si>
  <si>
    <t>Bagmane Developers  Private Limited (BDPL)</t>
  </si>
  <si>
    <t>Lakeview</t>
  </si>
  <si>
    <t>53,242.85 Sq. mtrs.</t>
  </si>
  <si>
    <t>50,454.57 Sq. mtrs.</t>
  </si>
  <si>
    <t>24479 sq.ft</t>
  </si>
  <si>
    <t>95638 sq.ft</t>
  </si>
  <si>
    <t>6,235.55 Sq. mtrs.</t>
  </si>
  <si>
    <t>5,497.39 Sq. mtrs.</t>
  </si>
  <si>
    <t>5,585.86 Sq. mtrs.</t>
  </si>
  <si>
    <t>5,229.49 Sq. Mtrs.</t>
  </si>
  <si>
    <t>Ground Floor to 5th floor</t>
  </si>
  <si>
    <t>8,795.94 Sq. Mtrs.</t>
  </si>
  <si>
    <t>HT - Utility &amp; Office Block</t>
  </si>
  <si>
    <t>Commercial-HT2b</t>
  </si>
  <si>
    <t>NO</t>
  </si>
  <si>
    <t>Water Source Details - Per month</t>
  </si>
  <si>
    <t>Fire Sump</t>
  </si>
  <si>
    <t>A-Block Ground UG sump</t>
  </si>
  <si>
    <t>Raw Sump</t>
  </si>
  <si>
    <t>Filter Sump</t>
  </si>
  <si>
    <t>B-Block Ground UG sump</t>
  </si>
  <si>
    <t>Fire Tank</t>
  </si>
  <si>
    <t>A-Block Terrace</t>
  </si>
  <si>
    <t>Domestic Tank</t>
  </si>
  <si>
    <t>Gents Flush</t>
  </si>
  <si>
    <t>Ladies Flush</t>
  </si>
  <si>
    <t>B-Block Terrace</t>
  </si>
  <si>
    <t>Fire Priming Tank</t>
  </si>
  <si>
    <t>Rest  Room- South</t>
  </si>
  <si>
    <t>Rest  Room- North</t>
  </si>
  <si>
    <t>First Floor</t>
  </si>
  <si>
    <t>Second Floor</t>
  </si>
  <si>
    <t>Third Floor</t>
  </si>
  <si>
    <t>Fourth Floor</t>
  </si>
  <si>
    <t>Fifth Floor</t>
  </si>
  <si>
    <t>Sixth Floor</t>
  </si>
  <si>
    <t>Surface Parking</t>
  </si>
  <si>
    <t>Lakeview Building</t>
  </si>
  <si>
    <t>UD Trucks</t>
  </si>
  <si>
    <t>Alstom</t>
  </si>
  <si>
    <t>SAP Concur</t>
  </si>
  <si>
    <t>Renesas</t>
  </si>
  <si>
    <t>S A Ganesh</t>
  </si>
  <si>
    <t>ganesha@ti.com</t>
  </si>
  <si>
    <t>Muralikrishna</t>
  </si>
  <si>
    <t>murali.krishna@udtrucks.com</t>
  </si>
  <si>
    <t>Manager-Administration &amp; Facility</t>
  </si>
  <si>
    <t>Thulasimani Murugan</t>
  </si>
  <si>
    <t>thulasimani.murugan@alstomgroup.com</t>
  </si>
  <si>
    <t>Senior Administration Officer</t>
  </si>
  <si>
    <t>Hemalatha Pramod</t>
  </si>
  <si>
    <t>hemalatha.pramad@sap.com</t>
  </si>
  <si>
    <t>6364359659 /9900967005</t>
  </si>
  <si>
    <t>Asst.Workplace Manager,Workplace Team</t>
  </si>
  <si>
    <t>p.subramanian.gx@renesas.com</t>
  </si>
  <si>
    <t>Subramani.S</t>
  </si>
  <si>
    <t>kirankumar H T</t>
  </si>
  <si>
    <t>Rajshekar A S
Raghu</t>
  </si>
  <si>
    <t>7720 Sq.Mtr</t>
  </si>
  <si>
    <t>8193.44 Sq.Mtr</t>
  </si>
  <si>
    <t>8202.31 Sq.Mtr</t>
  </si>
  <si>
    <t>7779 Sq.Mtr</t>
  </si>
  <si>
    <t>8407 Sq.Mtr</t>
  </si>
  <si>
    <t>13328.96 Sq.Mt</t>
  </si>
  <si>
    <t>70029.64 Sq. mtrs.</t>
  </si>
  <si>
    <t>16602.12 Sq.Mt</t>
  </si>
  <si>
    <t>Seventh Floor</t>
  </si>
  <si>
    <t>Eighth Floor</t>
  </si>
  <si>
    <t>Ground Floor Surface area (Open Parking)</t>
  </si>
  <si>
    <t>1st  Floor</t>
  </si>
  <si>
    <t>479216.99 sft</t>
  </si>
  <si>
    <t>Suresh.S.Kumar@dell.com</t>
  </si>
  <si>
    <t>774388.22 sft.</t>
  </si>
  <si>
    <t>753792.77 sft.</t>
  </si>
  <si>
    <t>2W Parking</t>
  </si>
  <si>
    <t>4W Parking</t>
  </si>
  <si>
    <t>sft</t>
  </si>
  <si>
    <t>Vinod Ugare</t>
  </si>
  <si>
    <t>Sandosh Kumar</t>
  </si>
  <si>
    <t>Ground Floor External</t>
  </si>
  <si>
    <t>Palo alto ()</t>
  </si>
  <si>
    <t>PWC ()</t>
  </si>
  <si>
    <t>Moodys ()</t>
  </si>
  <si>
    <t>Cardinal Health ()</t>
  </si>
  <si>
    <t>Commvault ()</t>
  </si>
  <si>
    <t>Total Landscaping Area (SFT)</t>
  </si>
  <si>
    <t>Facade Area (SFT)</t>
  </si>
  <si>
    <t>Area (Sft)</t>
  </si>
  <si>
    <t>Parking Details</t>
  </si>
  <si>
    <t>Block</t>
  </si>
  <si>
    <t>Parking Floor</t>
  </si>
  <si>
    <t>No. of parkings as per Plan</t>
  </si>
  <si>
    <t>No. of parkings as on Actuals</t>
  </si>
  <si>
    <t>No. of Stack Parking</t>
  </si>
  <si>
    <t>No. of Open Parking</t>
  </si>
  <si>
    <t>No. of Covered
Parking</t>
  </si>
  <si>
    <t>No. of Visitors
Parking</t>
  </si>
  <si>
    <t>No. of Reserved Parking</t>
  </si>
  <si>
    <t>No. of 
2W Parking</t>
  </si>
  <si>
    <t>No. of 
4W Parking</t>
  </si>
  <si>
    <t>A</t>
  </si>
  <si>
    <t xml:space="preserve">1st </t>
  </si>
  <si>
    <t>Opentext</t>
  </si>
  <si>
    <t>2nd</t>
  </si>
  <si>
    <t>3rd</t>
  </si>
  <si>
    <t>Volvo Group-India</t>
  </si>
  <si>
    <t>4th</t>
  </si>
  <si>
    <t>5th</t>
  </si>
  <si>
    <t>6th</t>
  </si>
  <si>
    <t>Infineon</t>
  </si>
  <si>
    <t>7th</t>
  </si>
  <si>
    <t>8th</t>
  </si>
  <si>
    <t>B</t>
  </si>
  <si>
    <t>SIMA</t>
  </si>
  <si>
    <t>C</t>
  </si>
  <si>
    <t>D</t>
  </si>
  <si>
    <t>324042 sq feet</t>
  </si>
  <si>
    <t>Commercial-1HT2B</t>
  </si>
  <si>
    <t>Ground Floor - 2 wheeler (Covered)</t>
  </si>
  <si>
    <t>Open text(19) &amp; Motorola(27)</t>
  </si>
  <si>
    <t>510.02 sqft</t>
  </si>
  <si>
    <t>70662 sqft</t>
  </si>
  <si>
    <t>3463.97 sqft</t>
  </si>
  <si>
    <t>40878 sqft</t>
  </si>
  <si>
    <t>Commerz 1</t>
  </si>
  <si>
    <t>Retail</t>
  </si>
  <si>
    <t>GF</t>
  </si>
  <si>
    <t>HDFC Bank</t>
  </si>
  <si>
    <t>State Bank Of India</t>
  </si>
  <si>
    <t>Union Bank of Inida</t>
  </si>
  <si>
    <t>Upper Basement &amp; Ground floor</t>
  </si>
  <si>
    <t>MLCP Parking</t>
  </si>
  <si>
    <t>Level 1</t>
  </si>
  <si>
    <t>Level 2</t>
  </si>
  <si>
    <t>Level 3</t>
  </si>
  <si>
    <t>Level 4</t>
  </si>
  <si>
    <t>Level 5</t>
  </si>
  <si>
    <t>Level 6</t>
  </si>
  <si>
    <t>Level 7</t>
  </si>
  <si>
    <t>Level 8</t>
  </si>
  <si>
    <t>31 &amp; 7</t>
  </si>
  <si>
    <t xml:space="preserve">87+5 </t>
  </si>
  <si>
    <t>Commerz 2</t>
  </si>
  <si>
    <t>GF (MLCP)</t>
  </si>
  <si>
    <t>1st (MLCP)</t>
  </si>
  <si>
    <t>2nd (MLCP)</t>
  </si>
  <si>
    <t>3rd (MLCP)</t>
  </si>
  <si>
    <t>4th (MLCP)</t>
  </si>
  <si>
    <t>9th</t>
  </si>
  <si>
    <t>1F</t>
  </si>
  <si>
    <t>2F</t>
  </si>
  <si>
    <t>3F</t>
  </si>
  <si>
    <t>4F</t>
  </si>
  <si>
    <t>Leased (office floor)</t>
  </si>
  <si>
    <t>Leased (MLCP)</t>
  </si>
  <si>
    <t>STP Technology</t>
  </si>
  <si>
    <t>Buildings</t>
  </si>
  <si>
    <t>Lokamantri Enviro Protection System (LEPS)</t>
  </si>
  <si>
    <t>Operating Agency (O&amp;M)</t>
  </si>
  <si>
    <t>Genex Utility 
Management</t>
  </si>
  <si>
    <t>Mr. Shinde</t>
  </si>
  <si>
    <t>Mr. Jeevan</t>
  </si>
  <si>
    <t>Contact Person</t>
  </si>
  <si>
    <t>Contact Number</t>
  </si>
  <si>
    <t>Spectrum</t>
  </si>
  <si>
    <t>Mr. Viresh</t>
  </si>
  <si>
    <t>Aquachem</t>
  </si>
  <si>
    <t>Dr. Hemanth Kumar</t>
  </si>
  <si>
    <t>Dr. Hemant Kumar</t>
  </si>
  <si>
    <t>Spectrum Engg. Works</t>
  </si>
  <si>
    <t>Aquachem India Pvt Ltd</t>
  </si>
  <si>
    <t xml:space="preserve">Ground Floor </t>
  </si>
  <si>
    <t>SAP</t>
  </si>
  <si>
    <t>Texas Instruments, Boeing, Bagmane &amp; Renesas</t>
  </si>
  <si>
    <t>Alstom&amp; UD Trucks</t>
  </si>
  <si>
    <t>SAP Concur&amp;             Texas Instruments</t>
  </si>
  <si>
    <t xml:space="preserve">Lakeview  Parking Summary </t>
  </si>
  <si>
    <t>Client</t>
  </si>
  <si>
    <t xml:space="preserve">MLCP Level details </t>
  </si>
  <si>
    <t>Total</t>
  </si>
  <si>
    <t>Actual allocation as per agreement</t>
  </si>
  <si>
    <t>Level #3 -  32</t>
  </si>
  <si>
    <t>Level #3 -  40</t>
  </si>
  <si>
    <t>Level #4 -  36</t>
  </si>
  <si>
    <t xml:space="preserve">Level #1 - 36
Level # 2 - 72
Level #3 - 72
Level #4 - 36
Level #7 - 72 </t>
  </si>
  <si>
    <t>Level #1 - 19
Level #5 -  72</t>
  </si>
  <si>
    <t>Level #1 -  11</t>
  </si>
  <si>
    <t>Bagmane</t>
  </si>
  <si>
    <t>Level #1 -  6</t>
  </si>
  <si>
    <t>A Block</t>
  </si>
  <si>
    <t>B Block</t>
  </si>
  <si>
    <t>GROUND 
FLOOR</t>
  </si>
  <si>
    <t>Arpitha H</t>
  </si>
  <si>
    <t>P Subramanian</t>
  </si>
  <si>
    <t>Laurel ’B’ Block, 5th Floor,</t>
  </si>
  <si>
    <t>Bagmane Tech Park, C V Raman Nagar,</t>
  </si>
  <si>
    <t>Bangalore – 560 093</t>
  </si>
  <si>
    <t>HVAC High side</t>
  </si>
  <si>
    <t>       RO Plant</t>
  </si>
  <si>
    <t>       Chemical Treatment Plant</t>
  </si>
  <si>
    <t>       Electrical High Side</t>
  </si>
  <si>
    <t>       Electrical low side</t>
  </si>
  <si>
    <t>       Transformer</t>
  </si>
  <si>
    <t>       Bus Duct raiser</t>
  </si>
  <si>
    <t>       WTP</t>
  </si>
  <si>
    <t>   PHE Systems</t>
  </si>
  <si>
    <t>   STP</t>
  </si>
  <si>
    <t>   Lifts</t>
  </si>
  <si>
    <t>   BMS</t>
  </si>
  <si>
    <t>   CPM</t>
  </si>
  <si>
    <t>   CCTV</t>
  </si>
  <si>
    <t>   UPS</t>
  </si>
  <si>
    <t>   HSD</t>
  </si>
  <si>
    <t>   Basement Ventilation System</t>
  </si>
  <si>
    <t>   Fire Alarm System</t>
  </si>
  <si>
    <t>   Fire Protection System</t>
  </si>
  <si>
    <t>   Public Address System</t>
  </si>
  <si>
    <t>   Solar Systems</t>
  </si>
  <si>
    <t>   Water Features</t>
  </si>
  <si>
    <t>   Diesel Generators</t>
  </si>
  <si>
    <t>   Boom Barriers</t>
  </si>
  <si>
    <t>HVAC Low side</t>
  </si>
  <si>
    <t>       Main building structure</t>
  </si>
  <si>
    <t>       Base build water proofing</t>
  </si>
  <si>
    <t>       Façade systems</t>
  </si>
  <si>
    <t>       Painting</t>
  </si>
  <si>
    <t>       Epoxy</t>
  </si>
  <si>
    <t>       Rest rooms</t>
  </si>
  <si>
    <t>       Façade Access System</t>
  </si>
  <si>
    <t>       Wet Cladding</t>
  </si>
  <si>
    <t>       Dry Cladding</t>
  </si>
  <si>
    <t>   PU Car parking</t>
  </si>
  <si>
    <t>   MS Works</t>
  </si>
  <si>
    <t>   SS Works</t>
  </si>
  <si>
    <t>   ACP Cladding</t>
  </si>
  <si>
    <t>   Corner guards</t>
  </si>
  <si>
    <t>   Z Louvers</t>
  </si>
  <si>
    <t>   Signages</t>
  </si>
  <si>
    <t>   Finishes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</si>
</sst>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"/>
    <numFmt numFmtId="165" formatCode="_ * #,##0_ ;_ * \-#,##0_ ;_ * &quot;-&quot;??_ ;_ @_ 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11.5"/>
      <color rgb="FF000000"/>
      <name val="Arial"/>
      <family val="2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</font>
    <font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2222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93">
    <xf numFmtId="0" fontId="0" fillId="0" borderId="0" xfId="0"/>
    <xf numFmtId="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4" fontId="3" fillId="2" borderId="0" xfId="0" applyNumberFormat="1" applyFont="1" applyFill="1" applyAlignment="1">
      <alignment vertical="center" wrapText="1"/>
    </xf>
    <xf numFmtId="2" fontId="0" fillId="2" borderId="0" xfId="0" applyNumberFormat="1" applyFill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5" fillId="2" borderId="1" xfId="1" applyFill="1" applyBorder="1" applyAlignment="1">
      <alignment vertical="center" wrapText="1"/>
    </xf>
    <xf numFmtId="0" fontId="5" fillId="0" borderId="0" xfId="1"/>
    <xf numFmtId="1" fontId="0" fillId="2" borderId="1" xfId="0" applyNumberForma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0" fontId="7" fillId="4" borderId="1" xfId="0" applyFont="1" applyFill="1" applyBorder="1" applyAlignment="1">
      <alignment horizontal="center" vertical="center"/>
    </xf>
    <xf numFmtId="0" fontId="5" fillId="4" borderId="1" xfId="1" applyFill="1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2" fontId="0" fillId="4" borderId="0" xfId="0" applyNumberFormat="1" applyFill="1" applyAlignment="1">
      <alignment horizontal="center" vertical="center" wrapText="1"/>
    </xf>
    <xf numFmtId="4" fontId="3" fillId="4" borderId="0" xfId="0" applyNumberFormat="1" applyFont="1" applyFill="1" applyAlignment="1">
      <alignment vertical="center" wrapText="1"/>
    </xf>
    <xf numFmtId="0" fontId="5" fillId="2" borderId="0" xfId="1" applyFill="1"/>
    <xf numFmtId="4" fontId="2" fillId="4" borderId="1" xfId="0" applyNumberFormat="1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 readingOrder="1"/>
    </xf>
    <xf numFmtId="0" fontId="0" fillId="2" borderId="1" xfId="0" applyFill="1" applyBorder="1" applyAlignment="1">
      <alignment horizontal="center"/>
    </xf>
    <xf numFmtId="15" fontId="0" fillId="2" borderId="1" xfId="0" applyNumberFormat="1" applyFill="1" applyBorder="1" applyAlignment="1">
      <alignment vertical="center" wrapText="1"/>
    </xf>
    <xf numFmtId="0" fontId="0" fillId="4" borderId="8" xfId="0" applyFill="1" applyBorder="1" applyAlignment="1">
      <alignment vertical="center" wrapText="1"/>
    </xf>
    <xf numFmtId="0" fontId="5" fillId="4" borderId="1" xfId="1" applyFill="1" applyBorder="1" applyAlignment="1">
      <alignment wrapText="1"/>
    </xf>
    <xf numFmtId="0" fontId="5" fillId="4" borderId="1" xfId="1" applyFill="1" applyBorder="1" applyAlignment="1">
      <alignment vertical="center" wrapText="1"/>
    </xf>
    <xf numFmtId="0" fontId="5" fillId="4" borderId="0" xfId="1" applyFill="1"/>
    <xf numFmtId="2" fontId="0" fillId="2" borderId="1" xfId="0" applyNumberFormat="1" applyFill="1" applyBorder="1" applyAlignment="1">
      <alignment vertical="center" wrapText="1"/>
    </xf>
    <xf numFmtId="2" fontId="2" fillId="4" borderId="1" xfId="0" applyNumberFormat="1" applyFont="1" applyFill="1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65" fontId="0" fillId="0" borderId="1" xfId="2" applyNumberFormat="1" applyFont="1" applyBorder="1" applyAlignment="1">
      <alignment horizontal="center"/>
    </xf>
    <xf numFmtId="0" fontId="0" fillId="0" borderId="1" xfId="0" applyBorder="1"/>
    <xf numFmtId="1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right"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2" fontId="2" fillId="0" borderId="1" xfId="3" applyNumberFormat="1" applyFont="1" applyBorder="1" applyAlignment="1">
      <alignment horizontal="left" vertical="center" wrapText="1"/>
    </xf>
    <xf numFmtId="2" fontId="0" fillId="0" borderId="0" xfId="3" applyNumberFormat="1" applyFont="1" applyAlignment="1">
      <alignment vertical="center" wrapText="1"/>
    </xf>
    <xf numFmtId="1" fontId="2" fillId="0" borderId="1" xfId="0" applyNumberFormat="1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left" vertical="center" wrapText="1"/>
    </xf>
    <xf numFmtId="2" fontId="0" fillId="2" borderId="1" xfId="0" applyNumberFormat="1" applyFill="1" applyBorder="1" applyAlignment="1">
      <alignment horizontal="left" vertical="center" wrapText="1"/>
    </xf>
    <xf numFmtId="0" fontId="10" fillId="0" borderId="13" xfId="0" applyFont="1" applyBorder="1"/>
    <xf numFmtId="0" fontId="10" fillId="0" borderId="14" xfId="0" applyFont="1" applyBorder="1"/>
    <xf numFmtId="0" fontId="11" fillId="0" borderId="1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0" fillId="0" borderId="16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/>
    <xf numFmtId="0" fontId="1" fillId="3" borderId="1" xfId="0" applyFont="1" applyFill="1" applyBorder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10" fillId="0" borderId="14" xfId="0" applyFont="1" applyBorder="1" applyAlignment="1">
      <alignment horizontal="center"/>
    </xf>
    <xf numFmtId="0" fontId="11" fillId="0" borderId="21" xfId="0" applyFont="1" applyBorder="1"/>
    <xf numFmtId="0" fontId="11" fillId="0" borderId="2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vertical="center" wrapText="1"/>
    </xf>
    <xf numFmtId="0" fontId="11" fillId="0" borderId="0" xfId="0" applyFont="1"/>
    <xf numFmtId="0" fontId="12" fillId="0" borderId="12" xfId="0" applyFont="1" applyBorder="1" applyAlignment="1">
      <alignment vertical="center" wrapText="1"/>
    </xf>
    <xf numFmtId="0" fontId="12" fillId="0" borderId="12" xfId="0" applyFont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right" vertical="center"/>
    </xf>
    <xf numFmtId="0" fontId="14" fillId="0" borderId="1" xfId="0" applyFont="1" applyBorder="1" applyAlignment="1">
      <alignment horizontal="center" vertical="center" wrapText="1"/>
    </xf>
    <xf numFmtId="0" fontId="0" fillId="0" borderId="11" xfId="0" applyBorder="1"/>
    <xf numFmtId="0" fontId="7" fillId="0" borderId="1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14" fillId="0" borderId="2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14" fillId="0" borderId="25" xfId="0" applyFont="1" applyBorder="1" applyAlignment="1">
      <alignment horizontal="center" vertical="center" wrapText="1"/>
    </xf>
    <xf numFmtId="0" fontId="0" fillId="0" borderId="26" xfId="0" applyBorder="1"/>
    <xf numFmtId="0" fontId="0" fillId="0" borderId="12" xfId="0" applyBorder="1" applyAlignment="1">
      <alignment wrapText="1"/>
    </xf>
    <xf numFmtId="0" fontId="7" fillId="0" borderId="1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2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11" fillId="0" borderId="14" xfId="0" applyFont="1" applyBorder="1"/>
    <xf numFmtId="0" fontId="0" fillId="0" borderId="11" xfId="0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/>
    <xf numFmtId="0" fontId="7" fillId="0" borderId="11" xfId="0" applyFont="1" applyBorder="1"/>
    <xf numFmtId="0" fontId="0" fillId="0" borderId="11" xfId="0" applyBorder="1" applyAlignment="1">
      <alignment horizontal="left"/>
    </xf>
    <xf numFmtId="0" fontId="16" fillId="0" borderId="1" xfId="0" applyFont="1" applyBorder="1" applyAlignment="1">
      <alignment horizontal="right" vertical="center"/>
    </xf>
    <xf numFmtId="0" fontId="0" fillId="0" borderId="12" xfId="0" applyBorder="1" applyAlignment="1">
      <alignment horizontal="left"/>
    </xf>
    <xf numFmtId="2" fontId="2" fillId="4" borderId="1" xfId="3" applyNumberFormat="1" applyFont="1" applyFill="1" applyBorder="1" applyAlignment="1">
      <alignment horizontal="left" vertical="center" wrapText="1"/>
    </xf>
    <xf numFmtId="165" fontId="0" fillId="0" borderId="0" xfId="3" applyNumberFormat="1" applyFont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left" vertical="center"/>
    </xf>
    <xf numFmtId="0" fontId="0" fillId="4" borderId="0" xfId="0" applyFill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14" fillId="4" borderId="24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9" fillId="8" borderId="28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1" fillId="0" borderId="14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26" xfId="0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 indent="4"/>
    </xf>
    <xf numFmtId="0" fontId="18" fillId="0" borderId="0" xfId="0" applyFont="1" applyAlignment="1">
      <alignment horizontal="left" vertical="center" wrapText="1"/>
    </xf>
  </cellXfs>
  <cellStyles count="4">
    <cellStyle name="Comma" xfId="3" builtinId="3"/>
    <cellStyle name="Comma 243" xfId="2" xr:uid="{00000000-0005-0000-0000-000001000000}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/AppData/Local/Microsoft/Windows/INetCache/Content.Outlook/0CLDARQF/BTP%20All%20Builidngs%20Car%20Park%20and%20Leased%20Area%20%20Details%20(2)%20(00000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keview Parking &amp; LA Details"/>
      <sheetName val="Lakeview Summary"/>
      <sheetName val="Olympia Parking LA Details"/>
      <sheetName val="Olympia Summary "/>
      <sheetName val="Com 1 Parking &amp; LA Details"/>
      <sheetName val="Com 1 Summary"/>
      <sheetName val="Com 2 Parking &amp; LA Details"/>
      <sheetName val="Com 2 Summary"/>
      <sheetName val="Tridib Parking &amp; LA Details"/>
      <sheetName val="Tridib Summary"/>
    </sheetNames>
    <sheetDataSet>
      <sheetData sheetId="0"/>
      <sheetData sheetId="1">
        <row r="5">
          <cell r="C5">
            <v>19</v>
          </cell>
          <cell r="D5">
            <v>14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resh.S.Kumar@del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prateekseth@google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prateekseth@google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murali.krishna@udtrucks.com" TargetMode="External"/><Relationship Id="rId2" Type="http://schemas.openxmlformats.org/officeDocument/2006/relationships/hyperlink" Target="mailto:arpitha.hanumanthappa@boeing.com" TargetMode="External"/><Relationship Id="rId1" Type="http://schemas.openxmlformats.org/officeDocument/2006/relationships/hyperlink" Target="mailto:ganesha@ti.com" TargetMode="External"/><Relationship Id="rId6" Type="http://schemas.openxmlformats.org/officeDocument/2006/relationships/hyperlink" Target="mailto:p.subramanian.gx@renesas.com" TargetMode="External"/><Relationship Id="rId5" Type="http://schemas.openxmlformats.org/officeDocument/2006/relationships/hyperlink" Target="mailto:hemalatha.pramad@sap.com" TargetMode="External"/><Relationship Id="rId4" Type="http://schemas.openxmlformats.org/officeDocument/2006/relationships/hyperlink" Target="mailto:thulasimani.murugan@alstomgroup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paramesh@motorola.com" TargetMode="External"/><Relationship Id="rId2" Type="http://schemas.openxmlformats.org/officeDocument/2006/relationships/hyperlink" Target="mailto:Subramaniyam.Srinivasan@nike.com" TargetMode="External"/><Relationship Id="rId1" Type="http://schemas.openxmlformats.org/officeDocument/2006/relationships/hyperlink" Target="mailto:prashant.mathur@viverointernational.com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mailto:tmahendra@opentext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naveen.basco@vialto.com" TargetMode="External"/><Relationship Id="rId2" Type="http://schemas.openxmlformats.org/officeDocument/2006/relationships/hyperlink" Target="mailto:kjayaram@informatica.com" TargetMode="External"/><Relationship Id="rId1" Type="http://schemas.openxmlformats.org/officeDocument/2006/relationships/hyperlink" Target="mailto:sursingh@informatica.com" TargetMode="External"/><Relationship Id="rId6" Type="http://schemas.openxmlformats.org/officeDocument/2006/relationships/hyperlink" Target="mailto:ubin0920657@unionbankofindia.bank" TargetMode="External"/><Relationship Id="rId5" Type="http://schemas.openxmlformats.org/officeDocument/2006/relationships/hyperlink" Target="mailto:sbi.11348@sbi.co.in" TargetMode="External"/><Relationship Id="rId4" Type="http://schemas.openxmlformats.org/officeDocument/2006/relationships/hyperlink" Target="mailto:rthakuri@cisco.com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mailto:kjayaram@informatica.com" TargetMode="External"/><Relationship Id="rId1" Type="http://schemas.openxmlformats.org/officeDocument/2006/relationships/hyperlink" Target="mailto:sursingh@informatic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N170"/>
  <sheetViews>
    <sheetView topLeftCell="E1" zoomScale="86" zoomScaleNormal="86" workbookViewId="0">
      <selection activeCell="L3" sqref="L3"/>
    </sheetView>
  </sheetViews>
  <sheetFormatPr defaultColWidth="24.1796875" defaultRowHeight="14.5" x14ac:dyDescent="0.35"/>
  <cols>
    <col min="1" max="1" width="31" style="8" customWidth="1"/>
    <col min="2" max="2" width="22" style="8" bestFit="1" customWidth="1"/>
    <col min="3" max="3" width="25.54296875" style="8" customWidth="1"/>
    <col min="4" max="4" width="40" style="8" customWidth="1"/>
    <col min="5" max="5" width="20.54296875" style="8" bestFit="1" customWidth="1"/>
    <col min="6" max="6" width="24.81640625" style="8" bestFit="1" customWidth="1"/>
    <col min="7" max="7" width="18.54296875" style="8" bestFit="1" customWidth="1"/>
    <col min="8" max="8" width="28.453125" style="8" bestFit="1" customWidth="1"/>
    <col min="9" max="16384" width="24.1796875" style="8"/>
  </cols>
  <sheetData>
    <row r="1" spans="1:12" s="4" customFormat="1" x14ac:dyDescent="0.35">
      <c r="A1" s="156" t="s">
        <v>87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</row>
    <row r="2" spans="1:12" s="4" customFormat="1" x14ac:dyDescent="0.35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</row>
    <row r="3" spans="1:12" s="4" customFormat="1" x14ac:dyDescent="0.35">
      <c r="A3" s="5" t="s">
        <v>86</v>
      </c>
      <c r="B3" s="5" t="s">
        <v>1</v>
      </c>
      <c r="C3" s="5" t="s">
        <v>0</v>
      </c>
      <c r="D3" s="5" t="s">
        <v>107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</row>
    <row r="4" spans="1:12" ht="29" x14ac:dyDescent="0.35">
      <c r="A4" s="18">
        <v>1</v>
      </c>
      <c r="B4" s="18" t="s">
        <v>580</v>
      </c>
      <c r="C4" s="18" t="s">
        <v>88</v>
      </c>
      <c r="D4" s="19" t="s">
        <v>581</v>
      </c>
      <c r="E4" s="18" t="s">
        <v>88</v>
      </c>
      <c r="F4" s="18" t="s">
        <v>110</v>
      </c>
      <c r="G4" s="18" t="s">
        <v>392</v>
      </c>
      <c r="H4" s="3" t="s">
        <v>393</v>
      </c>
      <c r="I4" s="18" t="s">
        <v>89</v>
      </c>
      <c r="J4" s="3" t="s">
        <v>90</v>
      </c>
      <c r="K4" s="18" t="s">
        <v>582</v>
      </c>
      <c r="L4" s="20">
        <v>1</v>
      </c>
    </row>
    <row r="5" spans="1:12" x14ac:dyDescent="0.3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x14ac:dyDescent="0.35">
      <c r="G6" s="21"/>
      <c r="H6" s="21"/>
      <c r="I6" s="21"/>
      <c r="J6" s="21"/>
      <c r="K6" s="21"/>
      <c r="L6" s="21"/>
    </row>
    <row r="8" spans="1:12" ht="29" x14ac:dyDescent="0.35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  <c r="I8" s="5" t="s">
        <v>18</v>
      </c>
      <c r="J8" s="5" t="s">
        <v>19</v>
      </c>
      <c r="K8" s="5" t="s">
        <v>20</v>
      </c>
    </row>
    <row r="9" spans="1:12" x14ac:dyDescent="0.35">
      <c r="A9" s="6" t="s">
        <v>580</v>
      </c>
      <c r="B9" s="6" t="s">
        <v>91</v>
      </c>
      <c r="C9" s="6" t="s">
        <v>562</v>
      </c>
      <c r="D9" s="7" t="s">
        <v>583</v>
      </c>
      <c r="E9" s="7" t="s">
        <v>583</v>
      </c>
      <c r="F9" s="7" t="s">
        <v>584</v>
      </c>
      <c r="G9" s="7" t="s">
        <v>585</v>
      </c>
      <c r="H9" s="7">
        <v>2006</v>
      </c>
      <c r="I9" s="7">
        <v>2007</v>
      </c>
      <c r="J9" s="7">
        <v>2007</v>
      </c>
      <c r="K9" s="7">
        <v>2007</v>
      </c>
    </row>
    <row r="10" spans="1:12" x14ac:dyDescent="0.35">
      <c r="D10" s="8" t="s">
        <v>689</v>
      </c>
      <c r="E10" s="8" t="s">
        <v>689</v>
      </c>
      <c r="F10" s="7" t="s">
        <v>584</v>
      </c>
      <c r="G10" s="7" t="s">
        <v>585</v>
      </c>
    </row>
    <row r="12" spans="1:12" x14ac:dyDescent="0.35">
      <c r="H12" s="61">
        <v>479217</v>
      </c>
    </row>
    <row r="13" spans="1:12" x14ac:dyDescent="0.35">
      <c r="A13" s="156" t="s">
        <v>93</v>
      </c>
      <c r="B13" s="156"/>
      <c r="C13" s="156"/>
      <c r="D13" s="156"/>
      <c r="E13" s="156"/>
    </row>
    <row r="14" spans="1:12" x14ac:dyDescent="0.35">
      <c r="A14" s="5" t="s">
        <v>10</v>
      </c>
      <c r="B14" s="5" t="s">
        <v>21</v>
      </c>
      <c r="C14" s="5" t="s">
        <v>22</v>
      </c>
      <c r="D14" s="5" t="s">
        <v>23</v>
      </c>
      <c r="E14" s="5" t="s">
        <v>24</v>
      </c>
      <c r="G14" s="30" t="s">
        <v>177</v>
      </c>
    </row>
    <row r="15" spans="1:12" x14ac:dyDescent="0.35">
      <c r="A15" s="2" t="s">
        <v>580</v>
      </c>
      <c r="B15" s="2" t="s">
        <v>94</v>
      </c>
      <c r="C15" s="2" t="s">
        <v>279</v>
      </c>
      <c r="D15" s="67">
        <v>33187.5</v>
      </c>
      <c r="E15" s="3"/>
      <c r="F15" s="9"/>
      <c r="G15" s="2" t="s">
        <v>586</v>
      </c>
      <c r="H15" s="8">
        <f>CONVERT(H12,"ft^2","m^2")</f>
        <v>44520.716119680001</v>
      </c>
    </row>
    <row r="16" spans="1:12" x14ac:dyDescent="0.35">
      <c r="A16" s="2" t="s">
        <v>580</v>
      </c>
      <c r="B16" s="2" t="s">
        <v>94</v>
      </c>
      <c r="C16" s="2" t="s">
        <v>280</v>
      </c>
      <c r="D16" s="67">
        <v>30392.44</v>
      </c>
      <c r="E16" s="3"/>
      <c r="F16" s="9"/>
      <c r="G16" s="2" t="s">
        <v>587</v>
      </c>
      <c r="H16" s="8">
        <v>44520.716119680001</v>
      </c>
    </row>
    <row r="17" spans="1:14" x14ac:dyDescent="0.35">
      <c r="A17" s="2" t="s">
        <v>580</v>
      </c>
      <c r="B17" s="2" t="s">
        <v>94</v>
      </c>
      <c r="C17" s="2" t="s">
        <v>281</v>
      </c>
      <c r="D17" s="67">
        <v>32199.27</v>
      </c>
      <c r="E17" s="3"/>
      <c r="F17" s="9"/>
      <c r="G17" s="2" t="s">
        <v>588</v>
      </c>
    </row>
    <row r="18" spans="1:14" x14ac:dyDescent="0.35">
      <c r="A18" s="2" t="s">
        <v>580</v>
      </c>
      <c r="B18" s="2" t="s">
        <v>94</v>
      </c>
      <c r="C18" s="2" t="s">
        <v>282</v>
      </c>
      <c r="D18" s="67">
        <v>32199.27</v>
      </c>
      <c r="E18" s="3"/>
      <c r="F18" s="9"/>
      <c r="G18" s="2" t="s">
        <v>589</v>
      </c>
    </row>
    <row r="19" spans="1:14" x14ac:dyDescent="0.35">
      <c r="A19" s="2" t="s">
        <v>580</v>
      </c>
      <c r="B19" s="2" t="s">
        <v>94</v>
      </c>
      <c r="C19" s="2" t="s">
        <v>287</v>
      </c>
      <c r="D19" s="67">
        <v>32199.27</v>
      </c>
      <c r="E19" s="3"/>
      <c r="F19" s="9"/>
      <c r="G19" s="2" t="s">
        <v>590</v>
      </c>
    </row>
    <row r="20" spans="1:14" x14ac:dyDescent="0.35">
      <c r="A20" s="2" t="s">
        <v>580</v>
      </c>
      <c r="B20" s="2" t="s">
        <v>94</v>
      </c>
      <c r="C20" s="2" t="s">
        <v>288</v>
      </c>
      <c r="D20" s="67">
        <v>32199.27</v>
      </c>
      <c r="E20" s="3"/>
      <c r="F20" s="9"/>
      <c r="G20" s="2" t="s">
        <v>111</v>
      </c>
    </row>
    <row r="21" spans="1:14" x14ac:dyDescent="0.35">
      <c r="A21" s="2" t="s">
        <v>580</v>
      </c>
      <c r="B21" s="2" t="s">
        <v>94</v>
      </c>
      <c r="C21" s="2" t="s">
        <v>289</v>
      </c>
      <c r="D21" s="67">
        <v>32199.27</v>
      </c>
      <c r="E21" s="3"/>
      <c r="F21" s="9"/>
      <c r="G21" s="2" t="s">
        <v>112</v>
      </c>
    </row>
    <row r="22" spans="1:14" x14ac:dyDescent="0.35">
      <c r="A22" s="2" t="s">
        <v>580</v>
      </c>
      <c r="B22" s="2" t="s">
        <v>94</v>
      </c>
      <c r="C22" s="2" t="s">
        <v>290</v>
      </c>
      <c r="D22" s="67">
        <v>32199.27</v>
      </c>
      <c r="E22" s="3"/>
      <c r="F22" s="9"/>
      <c r="G22" s="2" t="s">
        <v>114</v>
      </c>
    </row>
    <row r="23" spans="1:14" x14ac:dyDescent="0.35">
      <c r="A23" s="2" t="s">
        <v>580</v>
      </c>
      <c r="B23" s="2" t="s">
        <v>94</v>
      </c>
      <c r="C23" s="2" t="s">
        <v>291</v>
      </c>
      <c r="D23" s="67">
        <v>32199.27</v>
      </c>
      <c r="E23" s="3"/>
      <c r="F23" s="9"/>
      <c r="G23" s="2" t="s">
        <v>113</v>
      </c>
    </row>
    <row r="24" spans="1:14" x14ac:dyDescent="0.35">
      <c r="A24" s="2" t="s">
        <v>580</v>
      </c>
      <c r="B24" s="2" t="s">
        <v>94</v>
      </c>
      <c r="C24" s="2" t="s">
        <v>135</v>
      </c>
      <c r="D24" s="67">
        <v>31628.46</v>
      </c>
      <c r="E24" s="3"/>
      <c r="F24" s="9"/>
      <c r="G24" s="2" t="s">
        <v>591</v>
      </c>
    </row>
    <row r="25" spans="1:14" x14ac:dyDescent="0.35">
      <c r="D25" s="68"/>
    </row>
    <row r="26" spans="1:14" x14ac:dyDescent="0.35">
      <c r="A26" s="156" t="s">
        <v>103</v>
      </c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</row>
    <row r="27" spans="1:14" ht="15" customHeight="1" x14ac:dyDescent="0.35">
      <c r="A27" s="5" t="s">
        <v>72</v>
      </c>
      <c r="B27" s="10" t="s">
        <v>73</v>
      </c>
      <c r="C27" s="5" t="s">
        <v>169</v>
      </c>
      <c r="D27" s="5" t="s">
        <v>167</v>
      </c>
      <c r="E27" s="5" t="s">
        <v>168</v>
      </c>
      <c r="F27" s="5" t="s">
        <v>74</v>
      </c>
      <c r="G27" s="5" t="s">
        <v>75</v>
      </c>
      <c r="H27" s="5" t="s">
        <v>126</v>
      </c>
      <c r="I27" s="5" t="s">
        <v>125</v>
      </c>
      <c r="J27" s="5" t="s">
        <v>122</v>
      </c>
      <c r="K27" s="5" t="s">
        <v>123</v>
      </c>
      <c r="L27" s="5" t="s">
        <v>124</v>
      </c>
      <c r="M27" s="5" t="s">
        <v>76</v>
      </c>
      <c r="N27" s="5" t="s">
        <v>77</v>
      </c>
    </row>
    <row r="28" spans="1:14" x14ac:dyDescent="0.35">
      <c r="A28" s="6" t="s">
        <v>592</v>
      </c>
      <c r="B28" s="13">
        <v>2</v>
      </c>
      <c r="C28" s="13">
        <v>52</v>
      </c>
      <c r="D28" s="13">
        <v>26</v>
      </c>
      <c r="E28" s="28">
        <v>14</v>
      </c>
      <c r="F28" s="6" t="s">
        <v>593</v>
      </c>
      <c r="G28" s="14" t="s">
        <v>127</v>
      </c>
      <c r="H28" s="6">
        <v>2400</v>
      </c>
      <c r="I28" s="6">
        <v>2400</v>
      </c>
      <c r="J28" s="6">
        <v>2400</v>
      </c>
      <c r="K28" s="7">
        <v>539</v>
      </c>
      <c r="L28" s="6">
        <v>2160</v>
      </c>
      <c r="M28" s="41" t="s">
        <v>296</v>
      </c>
      <c r="N28" s="41">
        <v>200</v>
      </c>
    </row>
    <row r="29" spans="1:14" x14ac:dyDescent="0.35">
      <c r="A29" s="6" t="s">
        <v>594</v>
      </c>
      <c r="B29" s="13">
        <v>7</v>
      </c>
      <c r="C29" s="13"/>
      <c r="D29" s="13"/>
      <c r="E29" s="28"/>
      <c r="F29" s="6" t="s">
        <v>593</v>
      </c>
      <c r="G29" s="14" t="s">
        <v>127</v>
      </c>
      <c r="H29" s="6">
        <v>7499</v>
      </c>
      <c r="I29" s="6">
        <v>7499</v>
      </c>
      <c r="J29" s="6">
        <v>7499</v>
      </c>
      <c r="K29" s="6">
        <v>5108</v>
      </c>
      <c r="L29" s="6">
        <v>6749</v>
      </c>
      <c r="M29" s="27"/>
      <c r="N29" s="27"/>
    </row>
    <row r="31" spans="1:14" x14ac:dyDescent="0.35">
      <c r="A31" s="156" t="s">
        <v>104</v>
      </c>
      <c r="B31" s="156"/>
    </row>
    <row r="32" spans="1:14" x14ac:dyDescent="0.35">
      <c r="A32" s="5" t="s">
        <v>78</v>
      </c>
      <c r="B32" s="5" t="s">
        <v>79</v>
      </c>
    </row>
    <row r="33" spans="1:6" x14ac:dyDescent="0.35">
      <c r="A33" s="2"/>
      <c r="B33" s="13"/>
    </row>
    <row r="34" spans="1:6" x14ac:dyDescent="0.35">
      <c r="A34" s="2" t="s">
        <v>595</v>
      </c>
      <c r="B34" s="13">
        <v>640</v>
      </c>
    </row>
    <row r="37" spans="1:6" x14ac:dyDescent="0.35">
      <c r="A37" s="156" t="s">
        <v>298</v>
      </c>
      <c r="B37" s="156"/>
    </row>
    <row r="38" spans="1:6" x14ac:dyDescent="0.35">
      <c r="A38" s="5" t="s">
        <v>80</v>
      </c>
      <c r="B38" s="5" t="s">
        <v>81</v>
      </c>
    </row>
    <row r="39" spans="1:6" x14ac:dyDescent="0.35">
      <c r="A39" s="16" t="s">
        <v>128</v>
      </c>
      <c r="B39" s="15">
        <v>1472.46</v>
      </c>
    </row>
    <row r="40" spans="1:6" x14ac:dyDescent="0.35">
      <c r="A40" s="16" t="s">
        <v>129</v>
      </c>
      <c r="B40" s="15">
        <v>255.3</v>
      </c>
    </row>
    <row r="41" spans="1:6" x14ac:dyDescent="0.35">
      <c r="A41" s="7" t="s">
        <v>106</v>
      </c>
      <c r="B41" s="15">
        <v>2345.9</v>
      </c>
    </row>
    <row r="43" spans="1:6" x14ac:dyDescent="0.35">
      <c r="A43" s="91" t="s">
        <v>105</v>
      </c>
      <c r="B43" s="91"/>
      <c r="C43" s="91"/>
      <c r="D43" s="91"/>
    </row>
    <row r="44" spans="1:6" s="23" customFormat="1" x14ac:dyDescent="0.35">
      <c r="A44" s="10" t="s">
        <v>82</v>
      </c>
      <c r="B44" s="10" t="s">
        <v>83</v>
      </c>
      <c r="C44" s="10" t="s">
        <v>84</v>
      </c>
      <c r="D44" s="10" t="s">
        <v>85</v>
      </c>
      <c r="F44" s="8"/>
    </row>
    <row r="45" spans="1:6" x14ac:dyDescent="0.35">
      <c r="A45" s="6" t="s">
        <v>596</v>
      </c>
      <c r="B45" s="6" t="s">
        <v>303</v>
      </c>
      <c r="C45" s="13">
        <v>260</v>
      </c>
      <c r="D45" s="22">
        <f>C45*35.3146</f>
        <v>9181.7960000000003</v>
      </c>
    </row>
    <row r="46" spans="1:6" x14ac:dyDescent="0.35">
      <c r="A46" s="6" t="s">
        <v>597</v>
      </c>
      <c r="B46" s="6" t="s">
        <v>303</v>
      </c>
      <c r="C46" s="13">
        <v>260</v>
      </c>
      <c r="D46" s="22">
        <f t="shared" ref="D46:D62" si="0">C46*35.3146</f>
        <v>9181.7960000000003</v>
      </c>
    </row>
    <row r="47" spans="1:6" x14ac:dyDescent="0.35">
      <c r="A47" s="6" t="s">
        <v>598</v>
      </c>
      <c r="B47" s="6" t="s">
        <v>303</v>
      </c>
      <c r="C47" s="13">
        <v>50</v>
      </c>
      <c r="D47" s="22">
        <f t="shared" si="0"/>
        <v>1765.73</v>
      </c>
    </row>
    <row r="48" spans="1:6" x14ac:dyDescent="0.35">
      <c r="A48" s="6" t="s">
        <v>599</v>
      </c>
      <c r="B48" s="6" t="s">
        <v>303</v>
      </c>
      <c r="C48" s="13">
        <v>50</v>
      </c>
      <c r="D48" s="22">
        <f t="shared" si="0"/>
        <v>1765.73</v>
      </c>
    </row>
    <row r="49" spans="1:4" x14ac:dyDescent="0.35">
      <c r="A49" s="2" t="s">
        <v>600</v>
      </c>
      <c r="B49" s="6" t="s">
        <v>303</v>
      </c>
      <c r="C49" s="13">
        <v>50</v>
      </c>
      <c r="D49" s="22">
        <f t="shared" si="0"/>
        <v>1765.73</v>
      </c>
    </row>
    <row r="50" spans="1:4" x14ac:dyDescent="0.35">
      <c r="A50" s="2" t="s">
        <v>601</v>
      </c>
      <c r="B50" s="6" t="s">
        <v>303</v>
      </c>
      <c r="C50" s="13">
        <v>50</v>
      </c>
      <c r="D50" s="22">
        <f t="shared" si="0"/>
        <v>1765.73</v>
      </c>
    </row>
    <row r="51" spans="1:4" x14ac:dyDescent="0.35">
      <c r="A51" s="6" t="s">
        <v>130</v>
      </c>
      <c r="B51" s="6" t="s">
        <v>135</v>
      </c>
      <c r="C51" s="13">
        <v>50</v>
      </c>
      <c r="D51" s="22">
        <f t="shared" si="0"/>
        <v>1765.73</v>
      </c>
    </row>
    <row r="52" spans="1:4" x14ac:dyDescent="0.35">
      <c r="A52" s="6" t="s">
        <v>132</v>
      </c>
      <c r="B52" s="6" t="s">
        <v>135</v>
      </c>
      <c r="C52" s="13">
        <v>50</v>
      </c>
      <c r="D52" s="22">
        <f t="shared" si="0"/>
        <v>1765.73</v>
      </c>
    </row>
    <row r="53" spans="1:4" x14ac:dyDescent="0.35">
      <c r="A53" s="2" t="s">
        <v>157</v>
      </c>
      <c r="B53" s="6" t="s">
        <v>135</v>
      </c>
      <c r="C53" s="13">
        <v>30</v>
      </c>
      <c r="D53" s="22">
        <f t="shared" si="0"/>
        <v>1059.4379999999999</v>
      </c>
    </row>
    <row r="54" spans="1:4" x14ac:dyDescent="0.35">
      <c r="A54" s="2" t="s">
        <v>158</v>
      </c>
      <c r="B54" s="6" t="s">
        <v>135</v>
      </c>
      <c r="C54" s="13">
        <v>30</v>
      </c>
      <c r="D54" s="22">
        <f t="shared" si="0"/>
        <v>1059.4379999999999</v>
      </c>
    </row>
    <row r="55" spans="1:4" x14ac:dyDescent="0.35">
      <c r="A55" s="2" t="s">
        <v>602</v>
      </c>
      <c r="B55" s="6" t="s">
        <v>135</v>
      </c>
      <c r="C55" s="13">
        <v>30</v>
      </c>
      <c r="D55" s="22">
        <f t="shared" si="0"/>
        <v>1059.4379999999999</v>
      </c>
    </row>
    <row r="56" spans="1:4" x14ac:dyDescent="0.35">
      <c r="A56" s="2" t="s">
        <v>603</v>
      </c>
      <c r="B56" s="6" t="s">
        <v>135</v>
      </c>
      <c r="C56" s="13">
        <v>30</v>
      </c>
      <c r="D56" s="22">
        <f t="shared" si="0"/>
        <v>1059.4379999999999</v>
      </c>
    </row>
    <row r="57" spans="1:4" x14ac:dyDescent="0.35">
      <c r="A57" s="2" t="s">
        <v>159</v>
      </c>
      <c r="B57" s="6" t="s">
        <v>106</v>
      </c>
      <c r="C57" s="13">
        <v>58</v>
      </c>
      <c r="D57" s="22">
        <f t="shared" si="0"/>
        <v>2048.2467999999999</v>
      </c>
    </row>
    <row r="58" spans="1:4" x14ac:dyDescent="0.35">
      <c r="A58" s="2" t="s">
        <v>604</v>
      </c>
      <c r="B58" s="6" t="s">
        <v>106</v>
      </c>
      <c r="C58" s="13">
        <v>49</v>
      </c>
      <c r="D58" s="22">
        <f t="shared" si="0"/>
        <v>1730.4153999999999</v>
      </c>
    </row>
    <row r="59" spans="1:4" x14ac:dyDescent="0.35">
      <c r="A59" s="2" t="s">
        <v>605</v>
      </c>
      <c r="B59" s="6" t="s">
        <v>106</v>
      </c>
      <c r="C59" s="13">
        <v>52</v>
      </c>
      <c r="D59" s="22">
        <f t="shared" si="0"/>
        <v>1836.3591999999999</v>
      </c>
    </row>
    <row r="60" spans="1:4" x14ac:dyDescent="0.35">
      <c r="A60" s="2" t="s">
        <v>606</v>
      </c>
      <c r="B60" s="6" t="s">
        <v>106</v>
      </c>
      <c r="C60" s="13">
        <v>143</v>
      </c>
      <c r="D60" s="22">
        <f t="shared" si="0"/>
        <v>5049.9877999999999</v>
      </c>
    </row>
    <row r="61" spans="1:4" x14ac:dyDescent="0.35">
      <c r="A61" s="2" t="s">
        <v>160</v>
      </c>
      <c r="B61" s="6" t="s">
        <v>106</v>
      </c>
      <c r="C61" s="13">
        <v>22</v>
      </c>
      <c r="D61" s="22">
        <f t="shared" si="0"/>
        <v>776.9212</v>
      </c>
    </row>
    <row r="62" spans="1:4" x14ac:dyDescent="0.35">
      <c r="A62" s="2" t="s">
        <v>316</v>
      </c>
      <c r="B62" s="6" t="s">
        <v>106</v>
      </c>
      <c r="C62" s="13">
        <v>200</v>
      </c>
      <c r="D62" s="22">
        <f t="shared" si="0"/>
        <v>7062.92</v>
      </c>
    </row>
    <row r="63" spans="1:4" x14ac:dyDescent="0.35">
      <c r="A63" s="2"/>
      <c r="B63" s="6"/>
      <c r="C63" s="13"/>
      <c r="D63" s="22"/>
    </row>
    <row r="65" spans="1:10" x14ac:dyDescent="0.35">
      <c r="A65" s="163" t="s">
        <v>92</v>
      </c>
      <c r="B65" s="164"/>
      <c r="C65" s="164"/>
      <c r="D65" s="165"/>
      <c r="E65" s="10"/>
      <c r="F65" s="10"/>
      <c r="G65" s="10"/>
      <c r="H65" s="10"/>
      <c r="I65" s="10"/>
      <c r="J65" s="10"/>
    </row>
    <row r="66" spans="1:10" s="23" customFormat="1" x14ac:dyDescent="0.35">
      <c r="A66" s="10" t="s">
        <v>22</v>
      </c>
      <c r="B66" s="10" t="s">
        <v>30</v>
      </c>
      <c r="C66" s="10" t="s">
        <v>31</v>
      </c>
      <c r="D66" s="10" t="s">
        <v>32</v>
      </c>
      <c r="E66" s="10" t="s">
        <v>33</v>
      </c>
      <c r="F66" s="10" t="s">
        <v>34</v>
      </c>
      <c r="G66" s="10" t="s">
        <v>35</v>
      </c>
      <c r="H66" s="10" t="s">
        <v>36</v>
      </c>
      <c r="I66" s="10" t="s">
        <v>37</v>
      </c>
      <c r="J66" s="10" t="s">
        <v>38</v>
      </c>
    </row>
    <row r="67" spans="1:10" x14ac:dyDescent="0.35">
      <c r="A67" s="2" t="s">
        <v>279</v>
      </c>
      <c r="B67" s="13">
        <f>57+49</f>
        <v>106</v>
      </c>
      <c r="C67" s="13">
        <f>57+49</f>
        <v>106</v>
      </c>
      <c r="D67" s="13">
        <v>0</v>
      </c>
      <c r="E67" s="13">
        <v>49</v>
      </c>
      <c r="F67" s="13">
        <v>57</v>
      </c>
      <c r="G67" s="13">
        <v>0</v>
      </c>
      <c r="H67" s="13">
        <v>0</v>
      </c>
      <c r="I67" s="13">
        <v>0</v>
      </c>
      <c r="J67" s="13">
        <v>0</v>
      </c>
    </row>
    <row r="68" spans="1:10" x14ac:dyDescent="0.35">
      <c r="A68" s="2" t="s">
        <v>688</v>
      </c>
      <c r="B68" s="15">
        <v>72</v>
      </c>
      <c r="C68" s="15">
        <v>72</v>
      </c>
      <c r="D68" s="13">
        <v>0</v>
      </c>
      <c r="E68" s="13">
        <v>0</v>
      </c>
      <c r="F68" s="13">
        <v>72</v>
      </c>
      <c r="G68" s="13">
        <v>0</v>
      </c>
      <c r="H68" s="13">
        <v>0</v>
      </c>
      <c r="I68" s="13">
        <v>0</v>
      </c>
      <c r="J68" s="13">
        <v>11</v>
      </c>
    </row>
    <row r="69" spans="1:10" x14ac:dyDescent="0.35">
      <c r="B69" s="65"/>
      <c r="C69" s="65"/>
      <c r="D69" s="66"/>
      <c r="E69" s="6"/>
      <c r="F69" s="6"/>
      <c r="G69" s="6"/>
      <c r="H69" s="6"/>
      <c r="I69" s="6"/>
      <c r="J69" s="6"/>
    </row>
    <row r="70" spans="1:10" x14ac:dyDescent="0.35">
      <c r="A70" s="163" t="s">
        <v>109</v>
      </c>
      <c r="B70" s="164"/>
      <c r="C70" s="164"/>
      <c r="D70" s="165"/>
      <c r="E70" s="10"/>
      <c r="F70" s="10"/>
      <c r="G70" s="10"/>
      <c r="H70" s="10"/>
      <c r="I70" s="10"/>
      <c r="J70" s="10"/>
    </row>
    <row r="71" spans="1:10" s="23" customFormat="1" x14ac:dyDescent="0.35">
      <c r="A71" s="10" t="s">
        <v>22</v>
      </c>
      <c r="B71" s="10" t="s">
        <v>30</v>
      </c>
      <c r="C71" s="10" t="s">
        <v>31</v>
      </c>
      <c r="D71" s="10" t="s">
        <v>32</v>
      </c>
      <c r="E71" s="10" t="s">
        <v>33</v>
      </c>
      <c r="F71" s="10" t="s">
        <v>34</v>
      </c>
      <c r="G71" s="10" t="s">
        <v>35</v>
      </c>
      <c r="H71" s="10" t="s">
        <v>36</v>
      </c>
      <c r="I71" s="10" t="s">
        <v>37</v>
      </c>
      <c r="J71" s="10" t="s">
        <v>38</v>
      </c>
    </row>
    <row r="72" spans="1:10" x14ac:dyDescent="0.35">
      <c r="A72" s="17">
        <v>0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</row>
    <row r="73" spans="1:10" x14ac:dyDescent="0.35">
      <c r="A73" s="13">
        <v>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</row>
    <row r="74" spans="1:10" x14ac:dyDescent="0.35">
      <c r="B74" s="6"/>
      <c r="C74" s="6"/>
      <c r="D74" s="6"/>
      <c r="E74" s="6"/>
      <c r="F74" s="6"/>
      <c r="G74" s="6"/>
      <c r="H74" s="6"/>
      <c r="I74" s="6"/>
      <c r="J74" s="6"/>
    </row>
    <row r="75" spans="1:10" s="23" customFormat="1" x14ac:dyDescent="0.35">
      <c r="B75" s="12" t="s">
        <v>25</v>
      </c>
      <c r="C75" s="10" t="s">
        <v>26</v>
      </c>
      <c r="D75" s="12" t="s">
        <v>27</v>
      </c>
      <c r="E75" s="10" t="s">
        <v>26</v>
      </c>
      <c r="F75" s="12" t="s">
        <v>28</v>
      </c>
      <c r="G75" s="10" t="s">
        <v>26</v>
      </c>
      <c r="H75" s="12" t="s">
        <v>29</v>
      </c>
      <c r="I75" s="10" t="s">
        <v>138</v>
      </c>
      <c r="J75" s="10" t="s">
        <v>26</v>
      </c>
    </row>
    <row r="76" spans="1:10" x14ac:dyDescent="0.35">
      <c r="A76" s="6" t="s">
        <v>607</v>
      </c>
      <c r="B76" s="6" t="s">
        <v>136</v>
      </c>
      <c r="C76" s="13">
        <v>3</v>
      </c>
      <c r="D76" s="6" t="s">
        <v>95</v>
      </c>
      <c r="E76" s="13">
        <v>1</v>
      </c>
      <c r="F76" s="2" t="s">
        <v>97</v>
      </c>
      <c r="G76" s="13">
        <v>1</v>
      </c>
      <c r="H76" s="7" t="s">
        <v>117</v>
      </c>
      <c r="I76" s="15"/>
      <c r="J76" s="15">
        <v>1</v>
      </c>
    </row>
    <row r="77" spans="1:10" x14ac:dyDescent="0.35">
      <c r="A77" s="6"/>
      <c r="B77" s="6"/>
      <c r="C77" s="6"/>
      <c r="D77" s="6" t="s">
        <v>161</v>
      </c>
      <c r="E77" s="13">
        <v>1</v>
      </c>
      <c r="F77" s="2" t="s">
        <v>98</v>
      </c>
      <c r="G77" s="13">
        <v>1</v>
      </c>
      <c r="H77" s="7" t="s">
        <v>118</v>
      </c>
      <c r="I77" s="15"/>
      <c r="J77" s="15">
        <v>1</v>
      </c>
    </row>
    <row r="78" spans="1:10" x14ac:dyDescent="0.35">
      <c r="A78" s="6"/>
      <c r="B78" s="6"/>
      <c r="C78" s="6"/>
      <c r="D78" s="2" t="s">
        <v>96</v>
      </c>
      <c r="E78" s="13">
        <v>2</v>
      </c>
      <c r="F78" s="2" t="s">
        <v>137</v>
      </c>
      <c r="G78" s="13">
        <v>0</v>
      </c>
      <c r="H78" s="7" t="s">
        <v>119</v>
      </c>
      <c r="I78" s="15"/>
      <c r="J78" s="15">
        <v>1</v>
      </c>
    </row>
    <row r="79" spans="1:10" x14ac:dyDescent="0.35">
      <c r="D79" s="2" t="s">
        <v>163</v>
      </c>
      <c r="E79" s="13">
        <v>3</v>
      </c>
      <c r="F79" s="2" t="s">
        <v>165</v>
      </c>
      <c r="G79" s="13">
        <v>1</v>
      </c>
      <c r="I79" s="23"/>
      <c r="J79" s="23"/>
    </row>
    <row r="80" spans="1:10" x14ac:dyDescent="0.35">
      <c r="D80" s="2" t="s">
        <v>164</v>
      </c>
      <c r="E80" s="13">
        <v>0</v>
      </c>
      <c r="F80" s="16" t="s">
        <v>166</v>
      </c>
      <c r="G80" s="15">
        <v>0</v>
      </c>
      <c r="I80" s="23"/>
      <c r="J80" s="23"/>
    </row>
    <row r="81" spans="1:11" x14ac:dyDescent="0.35">
      <c r="D81" s="2" t="s">
        <v>162</v>
      </c>
      <c r="E81" s="13">
        <v>1</v>
      </c>
      <c r="F81" s="29"/>
      <c r="G81" s="23"/>
      <c r="I81" s="23"/>
      <c r="J81" s="23"/>
    </row>
    <row r="82" spans="1:11" x14ac:dyDescent="0.35">
      <c r="D82" s="2" t="s">
        <v>170</v>
      </c>
      <c r="E82" s="13">
        <v>0</v>
      </c>
    </row>
    <row r="84" spans="1:11" x14ac:dyDescent="0.35">
      <c r="A84" s="166" t="s">
        <v>101</v>
      </c>
      <c r="B84" s="167"/>
      <c r="C84" s="167"/>
      <c r="D84" s="167"/>
      <c r="E84" s="167"/>
      <c r="F84" s="168"/>
    </row>
    <row r="85" spans="1:11" x14ac:dyDescent="0.35">
      <c r="A85" s="5" t="s">
        <v>10</v>
      </c>
      <c r="B85" s="5" t="s">
        <v>22</v>
      </c>
      <c r="C85" s="5" t="s">
        <v>24</v>
      </c>
      <c r="D85" s="5" t="s">
        <v>61</v>
      </c>
      <c r="E85" s="5" t="s">
        <v>62</v>
      </c>
      <c r="F85" s="5" t="s">
        <v>63</v>
      </c>
    </row>
    <row r="86" spans="1:11" x14ac:dyDescent="0.35">
      <c r="A86" s="2" t="s">
        <v>580</v>
      </c>
      <c r="B86" s="2" t="s">
        <v>279</v>
      </c>
      <c r="C86" s="1"/>
      <c r="D86" s="25">
        <v>33187.5</v>
      </c>
      <c r="E86" s="25">
        <v>20548.740000000002</v>
      </c>
      <c r="F86" s="25">
        <v>20548.740000000002</v>
      </c>
    </row>
    <row r="87" spans="1:11" x14ac:dyDescent="0.35">
      <c r="A87" s="2" t="s">
        <v>580</v>
      </c>
      <c r="B87" s="2" t="s">
        <v>280</v>
      </c>
      <c r="C87" s="26"/>
      <c r="D87" s="25">
        <v>30392.44</v>
      </c>
      <c r="E87" s="25">
        <v>20568.11</v>
      </c>
      <c r="F87" s="25">
        <v>20568.11</v>
      </c>
      <c r="H87" s="169" t="s">
        <v>608</v>
      </c>
      <c r="I87" s="169"/>
      <c r="J87" s="169"/>
      <c r="K87" s="169"/>
    </row>
    <row r="88" spans="1:11" x14ac:dyDescent="0.35">
      <c r="A88" s="2" t="s">
        <v>580</v>
      </c>
      <c r="B88" s="2" t="s">
        <v>281</v>
      </c>
      <c r="C88" s="1"/>
      <c r="D88" s="25">
        <v>32199.27</v>
      </c>
      <c r="E88" s="25">
        <v>32199.27</v>
      </c>
      <c r="F88" s="25">
        <v>32199.27</v>
      </c>
      <c r="H88" s="30"/>
      <c r="I88" s="30"/>
      <c r="J88" s="170" t="s">
        <v>174</v>
      </c>
      <c r="K88" s="171" t="s">
        <v>175</v>
      </c>
    </row>
    <row r="89" spans="1:11" ht="15" customHeight="1" x14ac:dyDescent="0.35">
      <c r="A89" s="2" t="s">
        <v>580</v>
      </c>
      <c r="B89" s="2" t="s">
        <v>282</v>
      </c>
      <c r="C89" s="1"/>
      <c r="D89" s="25">
        <v>32199.27</v>
      </c>
      <c r="E89" s="25">
        <v>32199.27</v>
      </c>
      <c r="F89" s="25">
        <v>32199.27</v>
      </c>
      <c r="H89" s="172" t="s">
        <v>609</v>
      </c>
      <c r="I89" s="172"/>
      <c r="J89" s="170"/>
      <c r="K89" s="171"/>
    </row>
    <row r="90" spans="1:11" x14ac:dyDescent="0.35">
      <c r="A90" s="2" t="s">
        <v>580</v>
      </c>
      <c r="B90" s="2" t="s">
        <v>287</v>
      </c>
      <c r="C90" s="26"/>
      <c r="D90" s="25">
        <v>32199.27</v>
      </c>
      <c r="E90" s="25">
        <v>32199.27</v>
      </c>
      <c r="F90" s="25">
        <v>32199.27</v>
      </c>
      <c r="H90" s="30" t="s">
        <v>610</v>
      </c>
      <c r="I90" s="30" t="s">
        <v>611</v>
      </c>
      <c r="J90" s="31" t="s">
        <v>176</v>
      </c>
      <c r="K90" s="31" t="s">
        <v>176</v>
      </c>
    </row>
    <row r="91" spans="1:11" x14ac:dyDescent="0.35">
      <c r="A91" s="2" t="s">
        <v>580</v>
      </c>
      <c r="B91" s="2" t="s">
        <v>288</v>
      </c>
      <c r="C91" s="1"/>
      <c r="D91" s="25">
        <v>32199.27</v>
      </c>
      <c r="E91" s="25">
        <v>32199.27</v>
      </c>
      <c r="F91" s="25">
        <v>32199.27</v>
      </c>
      <c r="G91" s="9"/>
      <c r="H91" s="33">
        <f>I91*10.76</f>
        <v>61961.029600000002</v>
      </c>
      <c r="I91" s="33">
        <v>5758.46</v>
      </c>
      <c r="J91" s="32">
        <v>55327.92</v>
      </c>
      <c r="K91" s="32">
        <v>69070.92</v>
      </c>
    </row>
    <row r="92" spans="1:11" x14ac:dyDescent="0.35">
      <c r="A92" s="2" t="s">
        <v>580</v>
      </c>
      <c r="B92" s="2" t="s">
        <v>289</v>
      </c>
      <c r="C92" s="1"/>
      <c r="D92" s="25">
        <v>32199.27</v>
      </c>
      <c r="E92" s="25">
        <v>32199.27</v>
      </c>
      <c r="F92" s="25">
        <v>32199.27</v>
      </c>
      <c r="G92" s="9"/>
      <c r="H92" s="33">
        <f t="shared" ref="H92:H102" si="1">I92*10.76</f>
        <v>122590.29399999999</v>
      </c>
      <c r="I92" s="33">
        <v>11393.15</v>
      </c>
      <c r="J92" s="32">
        <v>85854.04</v>
      </c>
      <c r="K92" s="32">
        <v>106874.76</v>
      </c>
    </row>
    <row r="93" spans="1:11" x14ac:dyDescent="0.35">
      <c r="A93" s="2" t="s">
        <v>580</v>
      </c>
      <c r="B93" s="2" t="s">
        <v>290</v>
      </c>
      <c r="C93" s="1"/>
      <c r="D93" s="25">
        <v>32199.27</v>
      </c>
      <c r="E93" s="25">
        <v>32199.27</v>
      </c>
      <c r="F93" s="25">
        <v>32199.27</v>
      </c>
      <c r="G93" s="9"/>
      <c r="H93" s="33">
        <f t="shared" si="1"/>
        <v>136128.52600000001</v>
      </c>
      <c r="I93" s="33">
        <v>12651.35</v>
      </c>
      <c r="J93" s="32">
        <v>104737.84</v>
      </c>
      <c r="K93" s="32">
        <v>131377.35</v>
      </c>
    </row>
    <row r="94" spans="1:11" x14ac:dyDescent="0.35">
      <c r="A94" s="2" t="s">
        <v>580</v>
      </c>
      <c r="B94" s="2" t="s">
        <v>291</v>
      </c>
      <c r="C94" s="1"/>
      <c r="D94" s="25">
        <v>32199.27</v>
      </c>
      <c r="E94" s="25">
        <v>32199.27</v>
      </c>
      <c r="F94" s="25">
        <v>32199.27</v>
      </c>
      <c r="G94" s="9"/>
      <c r="H94" s="33">
        <f t="shared" si="1"/>
        <v>139947.46520000001</v>
      </c>
      <c r="I94" s="33">
        <v>13006.27</v>
      </c>
      <c r="J94" s="32">
        <v>116853.6</v>
      </c>
      <c r="K94" s="32">
        <v>146866.94</v>
      </c>
    </row>
    <row r="95" spans="1:11" x14ac:dyDescent="0.35">
      <c r="A95" s="2" t="s">
        <v>580</v>
      </c>
      <c r="B95" s="2" t="s">
        <v>135</v>
      </c>
      <c r="C95" s="1"/>
      <c r="D95" s="25">
        <v>42388.28</v>
      </c>
      <c r="E95" s="25">
        <v>26551.55</v>
      </c>
      <c r="F95" s="25">
        <v>26551.55</v>
      </c>
      <c r="G95" s="9"/>
      <c r="H95" s="33">
        <f t="shared" si="1"/>
        <v>139578.5048</v>
      </c>
      <c r="I95" s="33">
        <v>12971.98</v>
      </c>
      <c r="J95" s="32">
        <v>117197.92</v>
      </c>
      <c r="K95" s="32">
        <v>147253.22</v>
      </c>
    </row>
    <row r="96" spans="1:11" x14ac:dyDescent="0.35">
      <c r="G96" s="9"/>
      <c r="H96" s="33">
        <f t="shared" si="1"/>
        <v>140750.80679999999</v>
      </c>
      <c r="I96" s="33">
        <v>13080.93</v>
      </c>
      <c r="J96" s="32">
        <v>108407</v>
      </c>
      <c r="K96" s="32">
        <v>136344.69</v>
      </c>
    </row>
    <row r="97" spans="1:11" x14ac:dyDescent="0.35">
      <c r="G97" s="9"/>
      <c r="H97" s="33">
        <f t="shared" si="1"/>
        <v>139578.5048</v>
      </c>
      <c r="I97" s="33">
        <v>12971.98</v>
      </c>
      <c r="J97" s="32">
        <v>117197.92</v>
      </c>
      <c r="K97" s="32">
        <v>147253.22</v>
      </c>
    </row>
    <row r="98" spans="1:11" x14ac:dyDescent="0.35">
      <c r="G98" s="9"/>
      <c r="H98" s="33">
        <f t="shared" si="1"/>
        <v>139947.46520000001</v>
      </c>
      <c r="I98" s="33">
        <v>13006.27</v>
      </c>
      <c r="J98" s="32">
        <v>116853.6</v>
      </c>
      <c r="K98" s="32">
        <v>146866.94</v>
      </c>
    </row>
    <row r="99" spans="1:11" x14ac:dyDescent="0.35">
      <c r="G99" s="9"/>
      <c r="H99" s="33">
        <f t="shared" si="1"/>
        <v>140578.2164</v>
      </c>
      <c r="I99" s="33">
        <v>13064.89</v>
      </c>
      <c r="J99" s="32">
        <v>117197.92</v>
      </c>
      <c r="K99" s="32">
        <v>147253.22</v>
      </c>
    </row>
    <row r="100" spans="1:11" x14ac:dyDescent="0.35">
      <c r="G100" s="9"/>
      <c r="H100" s="33">
        <f t="shared" si="1"/>
        <v>139751.2028</v>
      </c>
      <c r="I100" s="33">
        <v>12988.03</v>
      </c>
      <c r="J100" s="32">
        <v>108407</v>
      </c>
      <c r="K100" s="32">
        <v>136344.69</v>
      </c>
    </row>
    <row r="101" spans="1:11" x14ac:dyDescent="0.35">
      <c r="G101" s="9"/>
      <c r="H101" s="33">
        <f t="shared" si="1"/>
        <v>140043.552</v>
      </c>
      <c r="I101" s="33">
        <v>13015.2</v>
      </c>
      <c r="J101" s="32">
        <v>117219.44</v>
      </c>
      <c r="K101" s="32">
        <v>147217.31</v>
      </c>
    </row>
    <row r="102" spans="1:11" x14ac:dyDescent="0.35">
      <c r="G102" s="9"/>
      <c r="H102" s="33">
        <f t="shared" si="1"/>
        <v>140043.552</v>
      </c>
      <c r="I102" s="33">
        <v>13015.2</v>
      </c>
      <c r="J102" s="32">
        <v>108794.36</v>
      </c>
      <c r="K102" s="32">
        <v>136765.43</v>
      </c>
    </row>
    <row r="103" spans="1:11" x14ac:dyDescent="0.35">
      <c r="H103" s="34"/>
    </row>
    <row r="104" spans="1:11" x14ac:dyDescent="0.35">
      <c r="H104" s="34"/>
    </row>
    <row r="108" spans="1:11" x14ac:dyDescent="0.35">
      <c r="A108" s="155" t="s">
        <v>108</v>
      </c>
      <c r="B108" s="155"/>
      <c r="C108" s="155"/>
      <c r="D108" s="155"/>
      <c r="E108" s="155"/>
      <c r="F108" s="155"/>
    </row>
    <row r="110" spans="1:11" x14ac:dyDescent="0.35">
      <c r="A110" s="156" t="s">
        <v>100</v>
      </c>
      <c r="B110" s="156"/>
      <c r="C110" s="156"/>
      <c r="D110" s="156"/>
      <c r="E110" s="156"/>
      <c r="F110" s="156"/>
      <c r="G110" s="156"/>
      <c r="H110" s="156"/>
      <c r="I110" s="156"/>
      <c r="J110" s="156"/>
    </row>
    <row r="111" spans="1:11" x14ac:dyDescent="0.35">
      <c r="A111" s="5" t="s">
        <v>51</v>
      </c>
      <c r="B111" s="5" t="s">
        <v>52</v>
      </c>
      <c r="C111" s="5" t="s">
        <v>53</v>
      </c>
      <c r="D111" s="5" t="s">
        <v>54</v>
      </c>
      <c r="E111" s="5" t="s">
        <v>55</v>
      </c>
      <c r="F111" s="5" t="s">
        <v>56</v>
      </c>
      <c r="G111" s="5" t="s">
        <v>57</v>
      </c>
      <c r="H111" s="5" t="s">
        <v>58</v>
      </c>
      <c r="I111" s="5" t="s">
        <v>59</v>
      </c>
      <c r="J111" s="5" t="s">
        <v>60</v>
      </c>
    </row>
    <row r="112" spans="1:11" x14ac:dyDescent="0.35">
      <c r="A112" s="6" t="s">
        <v>229</v>
      </c>
      <c r="B112" s="6" t="s">
        <v>229</v>
      </c>
      <c r="C112" s="15"/>
      <c r="D112" s="15"/>
      <c r="E112" s="15">
        <v>1790</v>
      </c>
      <c r="F112" s="15">
        <v>40</v>
      </c>
      <c r="G112" s="15">
        <f>E112+F112</f>
        <v>1830</v>
      </c>
      <c r="H112" s="15">
        <v>303</v>
      </c>
      <c r="I112" s="15">
        <v>0</v>
      </c>
      <c r="J112" s="15">
        <v>303</v>
      </c>
    </row>
    <row r="113" spans="1:14" x14ac:dyDescent="0.35">
      <c r="A113" s="6"/>
      <c r="B113" s="6"/>
      <c r="C113" s="13"/>
      <c r="D113" s="13"/>
      <c r="E113" s="13"/>
      <c r="F113" s="13"/>
      <c r="G113" s="13"/>
      <c r="H113" s="13"/>
      <c r="I113" s="13"/>
      <c r="J113" s="13"/>
    </row>
    <row r="114" spans="1:14" x14ac:dyDescent="0.35">
      <c r="N114" s="11"/>
    </row>
    <row r="115" spans="1:14" x14ac:dyDescent="0.35">
      <c r="A115" s="156" t="s">
        <v>102</v>
      </c>
      <c r="B115" s="156"/>
      <c r="C115" s="156"/>
      <c r="D115" s="156"/>
      <c r="N115" s="11"/>
    </row>
    <row r="116" spans="1:14" x14ac:dyDescent="0.35">
      <c r="A116" s="5" t="s">
        <v>68</v>
      </c>
      <c r="B116" s="5" t="s">
        <v>69</v>
      </c>
      <c r="C116" s="5" t="s">
        <v>70</v>
      </c>
      <c r="D116" s="5" t="s">
        <v>71</v>
      </c>
      <c r="N116" s="11"/>
    </row>
    <row r="117" spans="1:14" x14ac:dyDescent="0.35">
      <c r="A117" s="6" t="s">
        <v>178</v>
      </c>
      <c r="B117" s="13"/>
      <c r="C117" s="6" t="s">
        <v>117</v>
      </c>
      <c r="D117" s="6" t="s">
        <v>32</v>
      </c>
      <c r="N117" s="11"/>
    </row>
    <row r="118" spans="1:14" x14ac:dyDescent="0.35">
      <c r="A118" s="6" t="s">
        <v>178</v>
      </c>
      <c r="B118" s="13"/>
      <c r="C118" s="6" t="s">
        <v>117</v>
      </c>
      <c r="D118" s="6" t="s">
        <v>380</v>
      </c>
      <c r="N118" s="11"/>
    </row>
    <row r="119" spans="1:14" x14ac:dyDescent="0.35">
      <c r="A119" s="6" t="s">
        <v>178</v>
      </c>
      <c r="B119" s="13"/>
      <c r="C119" s="6" t="s">
        <v>118</v>
      </c>
      <c r="D119" s="6" t="s">
        <v>380</v>
      </c>
      <c r="N119" s="11"/>
    </row>
    <row r="120" spans="1:14" x14ac:dyDescent="0.35">
      <c r="A120" s="6" t="s">
        <v>178</v>
      </c>
      <c r="B120" s="13"/>
      <c r="C120" s="6" t="s">
        <v>119</v>
      </c>
      <c r="D120" s="6" t="s">
        <v>32</v>
      </c>
      <c r="N120" s="11"/>
    </row>
    <row r="121" spans="1:14" x14ac:dyDescent="0.35">
      <c r="A121" s="6"/>
      <c r="B121" s="6"/>
      <c r="C121" s="6"/>
      <c r="D121" s="6"/>
      <c r="N121" s="11"/>
    </row>
    <row r="123" spans="1:14" x14ac:dyDescent="0.35">
      <c r="A123" s="6"/>
      <c r="B123" s="6"/>
      <c r="C123" s="6"/>
      <c r="D123" s="6"/>
      <c r="E123" s="6"/>
    </row>
    <row r="124" spans="1:14" x14ac:dyDescent="0.35">
      <c r="A124" s="5" t="s">
        <v>51</v>
      </c>
      <c r="B124" s="5" t="s">
        <v>64</v>
      </c>
      <c r="C124" s="5" t="s">
        <v>65</v>
      </c>
      <c r="D124" s="5" t="s">
        <v>66</v>
      </c>
      <c r="E124" s="5" t="s">
        <v>67</v>
      </c>
    </row>
    <row r="125" spans="1:14" x14ac:dyDescent="0.35">
      <c r="A125" s="7" t="s">
        <v>229</v>
      </c>
      <c r="B125" s="7" t="s">
        <v>612</v>
      </c>
      <c r="C125" s="36" t="s">
        <v>248</v>
      </c>
      <c r="D125" s="7">
        <v>9663844334</v>
      </c>
      <c r="E125" s="7" t="s">
        <v>613</v>
      </c>
    </row>
    <row r="126" spans="1:14" x14ac:dyDescent="0.35">
      <c r="A126" s="7" t="s">
        <v>614</v>
      </c>
      <c r="B126" s="7" t="s">
        <v>615</v>
      </c>
      <c r="C126" s="35" t="s">
        <v>690</v>
      </c>
      <c r="D126" s="7"/>
      <c r="E126" s="7" t="s">
        <v>613</v>
      </c>
    </row>
    <row r="129" spans="1:12" x14ac:dyDescent="0.35">
      <c r="A129" s="157" t="s">
        <v>99</v>
      </c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9"/>
    </row>
    <row r="130" spans="1:12" x14ac:dyDescent="0.35">
      <c r="A130" s="160"/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2"/>
    </row>
    <row r="131" spans="1:12" x14ac:dyDescent="0.35">
      <c r="A131" s="5" t="s">
        <v>39</v>
      </c>
      <c r="B131" s="5" t="s">
        <v>40</v>
      </c>
      <c r="C131" s="5" t="s">
        <v>41</v>
      </c>
      <c r="D131" s="5" t="s">
        <v>42</v>
      </c>
      <c r="E131" s="5" t="s">
        <v>43</v>
      </c>
      <c r="F131" s="5" t="s">
        <v>44</v>
      </c>
      <c r="G131" s="5" t="s">
        <v>45</v>
      </c>
      <c r="H131" s="5" t="s">
        <v>46</v>
      </c>
      <c r="I131" s="5" t="s">
        <v>47</v>
      </c>
      <c r="J131" s="5" t="s">
        <v>48</v>
      </c>
      <c r="K131" s="5" t="s">
        <v>49</v>
      </c>
      <c r="L131" s="5" t="s">
        <v>50</v>
      </c>
    </row>
    <row r="132" spans="1:12" x14ac:dyDescent="0.35">
      <c r="A132" s="6" t="s">
        <v>115</v>
      </c>
      <c r="B132" s="6" t="s">
        <v>224</v>
      </c>
      <c r="C132" s="6" t="s">
        <v>616</v>
      </c>
      <c r="D132" s="7"/>
      <c r="E132" s="7" t="s">
        <v>179</v>
      </c>
      <c r="F132" s="6" t="s">
        <v>346</v>
      </c>
      <c r="G132" s="6" t="s">
        <v>116</v>
      </c>
      <c r="H132" s="6" t="s">
        <v>449</v>
      </c>
      <c r="I132" s="6" t="s">
        <v>228</v>
      </c>
      <c r="J132" s="6" t="s">
        <v>617</v>
      </c>
      <c r="K132" s="7"/>
      <c r="L132" s="6" t="s">
        <v>139</v>
      </c>
    </row>
    <row r="133" spans="1:12" x14ac:dyDescent="0.35">
      <c r="A133" s="6"/>
      <c r="B133" s="6"/>
      <c r="C133" s="6"/>
      <c r="D133" s="7"/>
      <c r="E133" s="7" t="s">
        <v>180</v>
      </c>
      <c r="F133" s="6"/>
      <c r="G133" s="6"/>
      <c r="H133" s="6"/>
      <c r="I133" s="6"/>
      <c r="J133" s="6"/>
      <c r="K133" s="7"/>
      <c r="L133" s="6"/>
    </row>
    <row r="134" spans="1:12" x14ac:dyDescent="0.35">
      <c r="A134" s="6"/>
      <c r="B134" s="6"/>
      <c r="C134" s="6"/>
      <c r="D134" s="7"/>
      <c r="E134" s="7" t="s">
        <v>181</v>
      </c>
      <c r="F134" s="6"/>
      <c r="G134" s="6"/>
      <c r="H134" s="6"/>
      <c r="I134" s="6"/>
      <c r="J134" s="6"/>
      <c r="K134" s="7"/>
      <c r="L134" s="6"/>
    </row>
    <row r="155" spans="3:3" x14ac:dyDescent="0.35">
      <c r="C155" s="8" t="s">
        <v>141</v>
      </c>
    </row>
    <row r="156" spans="3:3" x14ac:dyDescent="0.35">
      <c r="C156" s="8" t="s">
        <v>142</v>
      </c>
    </row>
    <row r="157" spans="3:3" ht="29" x14ac:dyDescent="0.35">
      <c r="C157" s="8" t="s">
        <v>143</v>
      </c>
    </row>
    <row r="158" spans="3:3" ht="29" x14ac:dyDescent="0.35">
      <c r="C158" s="8" t="s">
        <v>144</v>
      </c>
    </row>
    <row r="159" spans="3:3" ht="29" x14ac:dyDescent="0.35">
      <c r="C159" s="8" t="s">
        <v>145</v>
      </c>
    </row>
    <row r="160" spans="3:3" ht="29" x14ac:dyDescent="0.35">
      <c r="C160" s="8" t="s">
        <v>146</v>
      </c>
    </row>
    <row r="161" spans="3:3" x14ac:dyDescent="0.35">
      <c r="C161" s="8" t="s">
        <v>147</v>
      </c>
    </row>
    <row r="162" spans="3:3" x14ac:dyDescent="0.35">
      <c r="C162" s="8" t="s">
        <v>148</v>
      </c>
    </row>
    <row r="163" spans="3:3" x14ac:dyDescent="0.35">
      <c r="C163" s="8" t="s">
        <v>149</v>
      </c>
    </row>
    <row r="164" spans="3:3" x14ac:dyDescent="0.35">
      <c r="C164" s="8" t="s">
        <v>150</v>
      </c>
    </row>
    <row r="165" spans="3:3" x14ac:dyDescent="0.35">
      <c r="C165" s="8" t="s">
        <v>151</v>
      </c>
    </row>
    <row r="166" spans="3:3" x14ac:dyDescent="0.35">
      <c r="C166" s="8" t="s">
        <v>152</v>
      </c>
    </row>
    <row r="167" spans="3:3" x14ac:dyDescent="0.35">
      <c r="C167" s="8" t="s">
        <v>153</v>
      </c>
    </row>
    <row r="168" spans="3:3" x14ac:dyDescent="0.35">
      <c r="C168" s="8" t="s">
        <v>154</v>
      </c>
    </row>
    <row r="169" spans="3:3" ht="29" x14ac:dyDescent="0.35">
      <c r="C169" s="8" t="s">
        <v>155</v>
      </c>
    </row>
    <row r="170" spans="3:3" ht="29" x14ac:dyDescent="0.35">
      <c r="C170" s="8" t="s">
        <v>156</v>
      </c>
    </row>
  </sheetData>
  <autoFilter ref="A44:D62" xr:uid="{00000000-0009-0000-0000-000000000000}"/>
  <mergeCells count="16">
    <mergeCell ref="A1:L2"/>
    <mergeCell ref="A13:E13"/>
    <mergeCell ref="A26:L26"/>
    <mergeCell ref="A31:B31"/>
    <mergeCell ref="A37:B37"/>
    <mergeCell ref="A108:F108"/>
    <mergeCell ref="A110:J110"/>
    <mergeCell ref="A115:D115"/>
    <mergeCell ref="A129:L130"/>
    <mergeCell ref="A65:D65"/>
    <mergeCell ref="A70:D70"/>
    <mergeCell ref="A84:F84"/>
    <mergeCell ref="H87:K87"/>
    <mergeCell ref="J88:J89"/>
    <mergeCell ref="K88:K89"/>
    <mergeCell ref="H89:I89"/>
  </mergeCells>
  <hyperlinks>
    <hyperlink ref="C126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N240"/>
  <sheetViews>
    <sheetView topLeftCell="G1" workbookViewId="0">
      <selection activeCell="A209" sqref="A209"/>
    </sheetView>
  </sheetViews>
  <sheetFormatPr defaultColWidth="24.1796875" defaultRowHeight="14.5" x14ac:dyDescent="0.35"/>
  <cols>
    <col min="1" max="1" width="31" style="8" customWidth="1"/>
    <col min="2" max="2" width="22" style="8" bestFit="1" customWidth="1"/>
    <col min="3" max="3" width="33.54296875" style="8" customWidth="1"/>
    <col min="4" max="4" width="40" style="8" customWidth="1"/>
    <col min="5" max="5" width="20.54296875" style="8" bestFit="1" customWidth="1"/>
    <col min="6" max="6" width="24.81640625" style="8" bestFit="1" customWidth="1"/>
    <col min="7" max="7" width="18.54296875" style="8" bestFit="1" customWidth="1"/>
    <col min="8" max="8" width="28.453125" style="8" bestFit="1" customWidth="1"/>
    <col min="9" max="16384" width="24.1796875" style="8"/>
  </cols>
  <sheetData>
    <row r="1" spans="1:12" s="4" customFormat="1" x14ac:dyDescent="0.35">
      <c r="A1" s="156" t="s">
        <v>87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</row>
    <row r="2" spans="1:12" s="4" customFormat="1" x14ac:dyDescent="0.35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</row>
    <row r="3" spans="1:12" s="4" customFormat="1" x14ac:dyDescent="0.35">
      <c r="A3" s="5" t="s">
        <v>86</v>
      </c>
      <c r="B3" s="5" t="s">
        <v>1</v>
      </c>
      <c r="C3" s="5" t="s">
        <v>0</v>
      </c>
      <c r="D3" s="5" t="s">
        <v>107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</row>
    <row r="4" spans="1:12" ht="43.5" x14ac:dyDescent="0.35">
      <c r="A4" s="18">
        <v>1</v>
      </c>
      <c r="B4" s="18" t="s">
        <v>271</v>
      </c>
      <c r="C4" s="18" t="s">
        <v>88</v>
      </c>
      <c r="D4" s="19" t="s">
        <v>272</v>
      </c>
      <c r="E4" s="18" t="s">
        <v>88</v>
      </c>
      <c r="F4" s="18" t="s">
        <v>110</v>
      </c>
      <c r="G4" s="18" t="s">
        <v>186</v>
      </c>
      <c r="H4" s="3" t="s">
        <v>184</v>
      </c>
      <c r="I4" s="18" t="s">
        <v>89</v>
      </c>
      <c r="J4" s="3" t="s">
        <v>90</v>
      </c>
      <c r="K4" s="18" t="s">
        <v>273</v>
      </c>
      <c r="L4" s="20">
        <v>1</v>
      </c>
    </row>
    <row r="5" spans="1:12" x14ac:dyDescent="0.3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x14ac:dyDescent="0.35">
      <c r="G6" s="21"/>
      <c r="H6" s="21"/>
      <c r="I6" s="21"/>
      <c r="J6" s="21"/>
      <c r="K6" s="21"/>
      <c r="L6" s="21"/>
    </row>
    <row r="8" spans="1:12" ht="29" x14ac:dyDescent="0.35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  <c r="I8" s="5" t="s">
        <v>18</v>
      </c>
      <c r="J8" s="5" t="s">
        <v>19</v>
      </c>
      <c r="K8" s="5" t="s">
        <v>20</v>
      </c>
    </row>
    <row r="9" spans="1:12" x14ac:dyDescent="0.35">
      <c r="A9" s="6" t="s">
        <v>274</v>
      </c>
      <c r="B9" s="6" t="s">
        <v>91</v>
      </c>
      <c r="C9" s="6"/>
      <c r="D9" s="7" t="s">
        <v>683</v>
      </c>
      <c r="E9" s="7" t="s">
        <v>275</v>
      </c>
      <c r="F9" s="7" t="s">
        <v>276</v>
      </c>
      <c r="G9" s="7" t="s">
        <v>277</v>
      </c>
      <c r="H9" s="37">
        <v>2005</v>
      </c>
      <c r="I9" s="37">
        <v>2008</v>
      </c>
      <c r="J9" s="37">
        <v>2008</v>
      </c>
      <c r="K9" s="37"/>
    </row>
    <row r="10" spans="1:12" x14ac:dyDescent="0.35">
      <c r="D10" s="8" t="s">
        <v>692</v>
      </c>
      <c r="E10" s="8" t="s">
        <v>691</v>
      </c>
    </row>
    <row r="13" spans="1:12" x14ac:dyDescent="0.35">
      <c r="A13" s="156" t="s">
        <v>93</v>
      </c>
      <c r="B13" s="156"/>
      <c r="C13" s="156"/>
      <c r="D13" s="156"/>
      <c r="E13" s="156"/>
    </row>
    <row r="14" spans="1:12" x14ac:dyDescent="0.35">
      <c r="A14" s="5" t="s">
        <v>10</v>
      </c>
      <c r="B14" s="5" t="s">
        <v>21</v>
      </c>
      <c r="C14" s="5" t="s">
        <v>22</v>
      </c>
      <c r="D14" s="5" t="s">
        <v>23</v>
      </c>
      <c r="E14" s="5" t="s">
        <v>24</v>
      </c>
      <c r="G14" s="30" t="s">
        <v>177</v>
      </c>
    </row>
    <row r="15" spans="1:12" x14ac:dyDescent="0.35">
      <c r="A15" s="2" t="s">
        <v>278</v>
      </c>
      <c r="B15" s="2" t="s">
        <v>94</v>
      </c>
      <c r="C15" s="2" t="s">
        <v>279</v>
      </c>
      <c r="D15" s="1"/>
      <c r="E15" s="3"/>
      <c r="F15" s="9"/>
      <c r="G15" s="2"/>
    </row>
    <row r="16" spans="1:12" x14ac:dyDescent="0.35">
      <c r="A16" s="2" t="s">
        <v>278</v>
      </c>
      <c r="B16" s="2" t="s">
        <v>94</v>
      </c>
      <c r="C16" s="2" t="s">
        <v>280</v>
      </c>
      <c r="D16" s="26"/>
      <c r="E16" s="3"/>
      <c r="F16" s="9"/>
      <c r="G16" s="2"/>
    </row>
    <row r="17" spans="1:7" x14ac:dyDescent="0.35">
      <c r="A17" s="2" t="s">
        <v>278</v>
      </c>
      <c r="B17" s="2" t="s">
        <v>94</v>
      </c>
      <c r="C17" s="2" t="s">
        <v>281</v>
      </c>
      <c r="D17" s="1"/>
      <c r="E17" s="3"/>
      <c r="F17" s="9"/>
      <c r="G17" s="2"/>
    </row>
    <row r="18" spans="1:7" x14ac:dyDescent="0.35">
      <c r="A18" s="2" t="s">
        <v>278</v>
      </c>
      <c r="B18" s="2" t="s">
        <v>94</v>
      </c>
      <c r="C18" s="2" t="s">
        <v>282</v>
      </c>
      <c r="D18" s="1"/>
      <c r="E18" s="3"/>
      <c r="F18" s="9"/>
      <c r="G18" s="2"/>
    </row>
    <row r="19" spans="1:7" x14ac:dyDescent="0.35">
      <c r="A19" s="2" t="s">
        <v>278</v>
      </c>
      <c r="B19" s="2" t="s">
        <v>94</v>
      </c>
      <c r="C19" s="2" t="s">
        <v>135</v>
      </c>
      <c r="D19" s="26"/>
      <c r="E19" s="3"/>
      <c r="F19" s="9"/>
      <c r="G19" s="2" t="s">
        <v>684</v>
      </c>
    </row>
    <row r="20" spans="1:7" x14ac:dyDescent="0.35">
      <c r="A20" s="2" t="s">
        <v>283</v>
      </c>
      <c r="B20" s="2" t="s">
        <v>94</v>
      </c>
      <c r="C20" s="2" t="s">
        <v>284</v>
      </c>
      <c r="D20" s="1"/>
      <c r="E20" s="3"/>
      <c r="F20" s="9"/>
      <c r="G20" s="2" t="s">
        <v>682</v>
      </c>
    </row>
    <row r="21" spans="1:7" x14ac:dyDescent="0.35">
      <c r="A21" s="2" t="s">
        <v>285</v>
      </c>
      <c r="B21" s="2" t="s">
        <v>94</v>
      </c>
      <c r="C21" s="2" t="s">
        <v>280</v>
      </c>
      <c r="D21" s="69">
        <v>22052</v>
      </c>
      <c r="E21" s="3"/>
      <c r="F21" s="9"/>
      <c r="G21" s="2" t="s">
        <v>681</v>
      </c>
    </row>
    <row r="22" spans="1:7" x14ac:dyDescent="0.35">
      <c r="A22" s="2" t="s">
        <v>286</v>
      </c>
      <c r="B22" s="2" t="s">
        <v>94</v>
      </c>
      <c r="C22" s="2" t="s">
        <v>281</v>
      </c>
      <c r="D22" s="69">
        <v>22035</v>
      </c>
      <c r="E22" s="3"/>
      <c r="F22" s="9"/>
      <c r="G22" s="2" t="s">
        <v>680</v>
      </c>
    </row>
    <row r="23" spans="1:7" x14ac:dyDescent="0.35">
      <c r="A23" s="2" t="s">
        <v>286</v>
      </c>
      <c r="B23" s="2" t="s">
        <v>94</v>
      </c>
      <c r="C23" s="2" t="s">
        <v>282</v>
      </c>
      <c r="D23" s="69">
        <v>23496</v>
      </c>
      <c r="E23" s="3"/>
      <c r="F23" s="9"/>
      <c r="G23" s="2" t="s">
        <v>679</v>
      </c>
    </row>
    <row r="24" spans="1:7" x14ac:dyDescent="0.35">
      <c r="A24" s="2" t="s">
        <v>286</v>
      </c>
      <c r="B24" s="2" t="s">
        <v>94</v>
      </c>
      <c r="C24" s="2" t="s">
        <v>287</v>
      </c>
      <c r="D24" s="69">
        <v>23496</v>
      </c>
      <c r="E24" s="3"/>
      <c r="F24" s="9"/>
      <c r="G24" s="2" t="s">
        <v>678</v>
      </c>
    </row>
    <row r="25" spans="1:7" x14ac:dyDescent="0.35">
      <c r="A25" s="2" t="s">
        <v>286</v>
      </c>
      <c r="B25" s="2" t="s">
        <v>94</v>
      </c>
      <c r="C25" s="2" t="s">
        <v>288</v>
      </c>
      <c r="D25" s="69">
        <v>23496</v>
      </c>
      <c r="E25" s="3"/>
      <c r="F25" s="9"/>
      <c r="G25" s="2" t="s">
        <v>678</v>
      </c>
    </row>
    <row r="26" spans="1:7" x14ac:dyDescent="0.35">
      <c r="A26" s="2" t="s">
        <v>286</v>
      </c>
      <c r="B26" s="2" t="s">
        <v>94</v>
      </c>
      <c r="C26" s="2" t="s">
        <v>289</v>
      </c>
      <c r="D26" s="69">
        <v>23495</v>
      </c>
      <c r="E26" s="3"/>
      <c r="F26" s="9"/>
      <c r="G26" s="2" t="s">
        <v>678</v>
      </c>
    </row>
    <row r="27" spans="1:7" x14ac:dyDescent="0.35">
      <c r="A27" s="2" t="s">
        <v>286</v>
      </c>
      <c r="B27" s="2" t="s">
        <v>94</v>
      </c>
      <c r="C27" s="2" t="s">
        <v>290</v>
      </c>
      <c r="D27" s="69">
        <v>26326</v>
      </c>
      <c r="E27" s="3"/>
      <c r="F27" s="9"/>
      <c r="G27" s="2" t="s">
        <v>677</v>
      </c>
    </row>
    <row r="28" spans="1:7" x14ac:dyDescent="0.35">
      <c r="A28" s="2" t="s">
        <v>286</v>
      </c>
      <c r="B28" s="2" t="s">
        <v>94</v>
      </c>
      <c r="C28" s="2" t="s">
        <v>291</v>
      </c>
      <c r="D28" s="69">
        <v>22922</v>
      </c>
      <c r="E28" s="3"/>
      <c r="F28" s="9"/>
      <c r="G28" s="2" t="s">
        <v>677</v>
      </c>
    </row>
    <row r="29" spans="1:7" x14ac:dyDescent="0.35">
      <c r="A29" s="2" t="s">
        <v>292</v>
      </c>
      <c r="B29" s="2" t="s">
        <v>94</v>
      </c>
      <c r="C29" s="2" t="s">
        <v>280</v>
      </c>
      <c r="D29" s="69">
        <v>23593</v>
      </c>
      <c r="E29" s="3"/>
      <c r="F29" s="9"/>
      <c r="G29" s="2"/>
    </row>
    <row r="30" spans="1:7" x14ac:dyDescent="0.35">
      <c r="A30" s="2" t="s">
        <v>293</v>
      </c>
      <c r="B30" s="2" t="s">
        <v>94</v>
      </c>
      <c r="C30" s="2" t="s">
        <v>281</v>
      </c>
      <c r="D30" s="69">
        <v>18136</v>
      </c>
      <c r="E30" s="3"/>
      <c r="F30" s="9"/>
      <c r="G30" s="2"/>
    </row>
    <row r="31" spans="1:7" x14ac:dyDescent="0.35">
      <c r="A31" s="2" t="s">
        <v>293</v>
      </c>
      <c r="B31" s="2" t="s">
        <v>94</v>
      </c>
      <c r="C31" s="2" t="s">
        <v>282</v>
      </c>
      <c r="D31" s="69">
        <v>26172</v>
      </c>
      <c r="E31" s="3"/>
      <c r="F31" s="9"/>
      <c r="G31" s="2"/>
    </row>
    <row r="32" spans="1:7" x14ac:dyDescent="0.35">
      <c r="A32" s="2" t="s">
        <v>293</v>
      </c>
      <c r="B32" s="2" t="s">
        <v>94</v>
      </c>
      <c r="C32" s="2" t="s">
        <v>287</v>
      </c>
      <c r="D32" s="69">
        <v>26172</v>
      </c>
      <c r="E32" s="3"/>
      <c r="F32" s="9"/>
      <c r="G32" s="2"/>
    </row>
    <row r="33" spans="1:7" x14ac:dyDescent="0.35">
      <c r="A33" s="2" t="s">
        <v>293</v>
      </c>
      <c r="B33" s="2" t="s">
        <v>94</v>
      </c>
      <c r="C33" s="2" t="s">
        <v>288</v>
      </c>
      <c r="D33" s="69">
        <v>26172</v>
      </c>
      <c r="E33" s="3"/>
      <c r="F33" s="9"/>
      <c r="G33" s="2"/>
    </row>
    <row r="34" spans="1:7" x14ac:dyDescent="0.35">
      <c r="A34" s="2" t="s">
        <v>293</v>
      </c>
      <c r="B34" s="2" t="s">
        <v>94</v>
      </c>
      <c r="C34" s="2" t="s">
        <v>289</v>
      </c>
      <c r="D34" s="69">
        <v>26172</v>
      </c>
      <c r="E34" s="3"/>
      <c r="F34" s="9"/>
      <c r="G34" s="2"/>
    </row>
    <row r="35" spans="1:7" x14ac:dyDescent="0.35">
      <c r="A35" s="2" t="s">
        <v>293</v>
      </c>
      <c r="B35" s="2" t="s">
        <v>94</v>
      </c>
      <c r="C35" s="2" t="s">
        <v>290</v>
      </c>
      <c r="D35" s="69">
        <v>18333</v>
      </c>
      <c r="E35" s="3"/>
      <c r="F35" s="9"/>
      <c r="G35" s="2"/>
    </row>
    <row r="36" spans="1:7" x14ac:dyDescent="0.35">
      <c r="A36" s="2" t="s">
        <v>293</v>
      </c>
      <c r="B36" s="2" t="s">
        <v>94</v>
      </c>
      <c r="C36" s="2" t="s">
        <v>291</v>
      </c>
      <c r="D36" s="69">
        <v>26091</v>
      </c>
      <c r="E36" s="3"/>
      <c r="F36" s="9"/>
      <c r="G36" s="2"/>
    </row>
    <row r="37" spans="1:7" x14ac:dyDescent="0.35">
      <c r="A37" s="2" t="s">
        <v>294</v>
      </c>
      <c r="B37" s="2" t="s">
        <v>94</v>
      </c>
      <c r="C37" s="2" t="s">
        <v>280</v>
      </c>
      <c r="D37" s="69">
        <v>26091</v>
      </c>
      <c r="E37" s="3"/>
      <c r="F37" s="9"/>
      <c r="G37" s="2"/>
    </row>
    <row r="38" spans="1:7" x14ac:dyDescent="0.35">
      <c r="A38" s="2" t="s">
        <v>294</v>
      </c>
      <c r="B38" s="2" t="s">
        <v>94</v>
      </c>
      <c r="C38" s="2" t="s">
        <v>281</v>
      </c>
      <c r="D38" s="69">
        <v>26091</v>
      </c>
      <c r="E38" s="3"/>
      <c r="F38" s="9"/>
      <c r="G38" s="2"/>
    </row>
    <row r="39" spans="1:7" x14ac:dyDescent="0.35">
      <c r="A39" s="2" t="s">
        <v>294</v>
      </c>
      <c r="B39" s="2" t="s">
        <v>94</v>
      </c>
      <c r="C39" s="2" t="s">
        <v>282</v>
      </c>
      <c r="D39" s="69">
        <v>26172</v>
      </c>
      <c r="E39" s="3"/>
      <c r="F39" s="9"/>
      <c r="G39" s="2"/>
    </row>
    <row r="40" spans="1:7" x14ac:dyDescent="0.35">
      <c r="A40" s="2" t="s">
        <v>294</v>
      </c>
      <c r="B40" s="2" t="s">
        <v>94</v>
      </c>
      <c r="C40" s="2" t="s">
        <v>287</v>
      </c>
      <c r="D40" s="69">
        <v>26172</v>
      </c>
      <c r="E40" s="3"/>
      <c r="F40" s="9"/>
      <c r="G40" s="2"/>
    </row>
    <row r="41" spans="1:7" x14ac:dyDescent="0.35">
      <c r="A41" s="2" t="s">
        <v>294</v>
      </c>
      <c r="B41" s="2" t="s">
        <v>94</v>
      </c>
      <c r="C41" s="2" t="s">
        <v>288</v>
      </c>
      <c r="D41" s="69">
        <v>26172</v>
      </c>
      <c r="E41" s="3"/>
      <c r="F41" s="9"/>
      <c r="G41" s="2"/>
    </row>
    <row r="42" spans="1:7" x14ac:dyDescent="0.35">
      <c r="A42" s="2" t="s">
        <v>294</v>
      </c>
      <c r="B42" s="2" t="s">
        <v>94</v>
      </c>
      <c r="C42" s="2" t="s">
        <v>289</v>
      </c>
      <c r="D42" s="69">
        <v>26172</v>
      </c>
      <c r="E42" s="3"/>
      <c r="F42" s="9"/>
      <c r="G42" s="2"/>
    </row>
    <row r="43" spans="1:7" x14ac:dyDescent="0.35">
      <c r="A43" s="2" t="s">
        <v>294</v>
      </c>
      <c r="B43" s="2" t="s">
        <v>94</v>
      </c>
      <c r="C43" s="2" t="s">
        <v>290</v>
      </c>
      <c r="D43" s="69">
        <v>31181</v>
      </c>
      <c r="E43" s="3"/>
      <c r="F43" s="9"/>
      <c r="G43" s="2"/>
    </row>
    <row r="44" spans="1:7" x14ac:dyDescent="0.35">
      <c r="A44" s="2" t="s">
        <v>294</v>
      </c>
      <c r="B44" s="2" t="s">
        <v>94</v>
      </c>
      <c r="C44" s="2" t="s">
        <v>291</v>
      </c>
      <c r="D44" s="69">
        <v>26091</v>
      </c>
      <c r="E44" s="3"/>
      <c r="F44" s="9"/>
      <c r="G44" s="2"/>
    </row>
    <row r="45" spans="1:7" x14ac:dyDescent="0.35">
      <c r="A45" s="2" t="s">
        <v>295</v>
      </c>
      <c r="B45" s="2" t="s">
        <v>94</v>
      </c>
      <c r="C45" s="2" t="s">
        <v>280</v>
      </c>
      <c r="D45" s="69">
        <v>21592</v>
      </c>
      <c r="E45" s="3"/>
      <c r="F45" s="9"/>
      <c r="G45" s="2"/>
    </row>
    <row r="46" spans="1:7" x14ac:dyDescent="0.35">
      <c r="A46" s="2" t="s">
        <v>295</v>
      </c>
      <c r="B46" s="2" t="s">
        <v>94</v>
      </c>
      <c r="C46" s="2" t="s">
        <v>281</v>
      </c>
      <c r="D46" s="69">
        <v>21592</v>
      </c>
      <c r="E46" s="3"/>
      <c r="F46" s="9"/>
      <c r="G46" s="2"/>
    </row>
    <row r="47" spans="1:7" x14ac:dyDescent="0.35">
      <c r="A47" s="2" t="s">
        <v>295</v>
      </c>
      <c r="B47" s="2" t="s">
        <v>94</v>
      </c>
      <c r="C47" s="2" t="s">
        <v>282</v>
      </c>
      <c r="D47" s="69">
        <v>23016</v>
      </c>
      <c r="E47" s="3"/>
      <c r="F47" s="9"/>
      <c r="G47" s="2"/>
    </row>
    <row r="48" spans="1:7" x14ac:dyDescent="0.35">
      <c r="A48" s="2" t="s">
        <v>295</v>
      </c>
      <c r="B48" s="2" t="s">
        <v>94</v>
      </c>
      <c r="C48" s="2" t="s">
        <v>287</v>
      </c>
      <c r="D48" s="69">
        <v>23016</v>
      </c>
      <c r="E48" s="3"/>
      <c r="F48" s="9"/>
      <c r="G48" s="2"/>
    </row>
    <row r="49" spans="1:14" x14ac:dyDescent="0.35">
      <c r="A49" s="2" t="s">
        <v>295</v>
      </c>
      <c r="B49" s="2" t="s">
        <v>94</v>
      </c>
      <c r="C49" s="2" t="s">
        <v>288</v>
      </c>
      <c r="D49" s="69">
        <v>23016</v>
      </c>
      <c r="E49" s="3"/>
      <c r="F49" s="9"/>
      <c r="G49" s="2"/>
    </row>
    <row r="50" spans="1:14" x14ac:dyDescent="0.35">
      <c r="A50" s="2" t="s">
        <v>295</v>
      </c>
      <c r="B50" s="2" t="s">
        <v>94</v>
      </c>
      <c r="C50" s="2" t="s">
        <v>289</v>
      </c>
      <c r="D50" s="69">
        <v>23016</v>
      </c>
      <c r="E50" s="3"/>
      <c r="F50" s="9"/>
      <c r="G50" s="2"/>
    </row>
    <row r="51" spans="1:14" x14ac:dyDescent="0.35">
      <c r="A51" s="2" t="s">
        <v>295</v>
      </c>
      <c r="B51" s="2" t="s">
        <v>94</v>
      </c>
      <c r="C51" s="2" t="s">
        <v>290</v>
      </c>
      <c r="D51" s="69">
        <v>23016</v>
      </c>
      <c r="E51" s="3"/>
      <c r="F51" s="9"/>
      <c r="G51" s="2"/>
    </row>
    <row r="52" spans="1:14" x14ac:dyDescent="0.35">
      <c r="A52" s="2" t="s">
        <v>295</v>
      </c>
      <c r="B52" s="2" t="s">
        <v>94</v>
      </c>
      <c r="C52" s="2" t="s">
        <v>291</v>
      </c>
      <c r="D52" s="69">
        <v>23533</v>
      </c>
      <c r="E52" s="3"/>
      <c r="F52" s="9"/>
      <c r="G52" s="2"/>
    </row>
    <row r="53" spans="1:14" x14ac:dyDescent="0.35">
      <c r="A53" s="2"/>
      <c r="B53" s="2"/>
      <c r="C53" s="2"/>
      <c r="D53" s="1"/>
      <c r="E53" s="3"/>
      <c r="F53" s="9"/>
      <c r="G53" s="2"/>
    </row>
    <row r="54" spans="1:14" x14ac:dyDescent="0.35">
      <c r="A54" s="2"/>
      <c r="B54" s="2"/>
      <c r="C54" s="2"/>
      <c r="D54" s="1"/>
      <c r="E54" s="3"/>
      <c r="F54" s="9"/>
      <c r="G54" s="2"/>
    </row>
    <row r="55" spans="1:14" x14ac:dyDescent="0.35">
      <c r="A55" s="2"/>
      <c r="B55" s="2"/>
      <c r="C55" s="2"/>
      <c r="D55" s="1"/>
      <c r="E55" s="3"/>
      <c r="F55" s="9"/>
      <c r="G55" s="2"/>
    </row>
    <row r="56" spans="1:14" x14ac:dyDescent="0.35">
      <c r="A56" s="2"/>
      <c r="B56" s="2"/>
      <c r="C56" s="2"/>
      <c r="D56" s="1"/>
      <c r="E56" s="3"/>
      <c r="F56" s="9"/>
      <c r="G56" s="2"/>
    </row>
    <row r="57" spans="1:14" x14ac:dyDescent="0.35">
      <c r="A57" s="2"/>
      <c r="B57" s="2"/>
      <c r="C57" s="2"/>
      <c r="D57" s="1"/>
      <c r="E57" s="3"/>
      <c r="F57" s="9"/>
      <c r="G57" s="2"/>
    </row>
    <row r="58" spans="1:14" x14ac:dyDescent="0.35">
      <c r="A58" s="156" t="s">
        <v>103</v>
      </c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</row>
    <row r="59" spans="1:14" ht="15" customHeight="1" x14ac:dyDescent="0.35">
      <c r="A59" s="5" t="s">
        <v>72</v>
      </c>
      <c r="B59" s="5" t="s">
        <v>73</v>
      </c>
      <c r="C59" s="5" t="s">
        <v>169</v>
      </c>
      <c r="D59" s="5" t="s">
        <v>167</v>
      </c>
      <c r="E59" s="5" t="s">
        <v>168</v>
      </c>
      <c r="F59" s="5" t="s">
        <v>74</v>
      </c>
      <c r="G59" s="5" t="s">
        <v>75</v>
      </c>
      <c r="H59" s="5" t="s">
        <v>126</v>
      </c>
      <c r="I59" s="5" t="s">
        <v>125</v>
      </c>
      <c r="J59" s="5" t="s">
        <v>122</v>
      </c>
      <c r="K59" s="5" t="s">
        <v>123</v>
      </c>
      <c r="L59" s="5" t="s">
        <v>124</v>
      </c>
      <c r="M59" s="5" t="s">
        <v>76</v>
      </c>
      <c r="N59" s="5" t="s">
        <v>77</v>
      </c>
    </row>
    <row r="60" spans="1:14" x14ac:dyDescent="0.35">
      <c r="A60" s="13" t="s">
        <v>140</v>
      </c>
      <c r="B60" s="13">
        <v>2</v>
      </c>
      <c r="C60" s="13">
        <v>170</v>
      </c>
      <c r="D60" s="13">
        <v>83</v>
      </c>
      <c r="E60" s="28">
        <v>47</v>
      </c>
      <c r="F60" s="13" t="s">
        <v>210</v>
      </c>
      <c r="G60" s="28" t="s">
        <v>127</v>
      </c>
      <c r="H60" s="13">
        <v>7938</v>
      </c>
      <c r="I60" s="13">
        <v>9000</v>
      </c>
      <c r="J60" s="13">
        <v>9000</v>
      </c>
      <c r="K60" s="13">
        <v>5000</v>
      </c>
      <c r="L60" s="13">
        <v>8100</v>
      </c>
      <c r="M60" s="27" t="s">
        <v>296</v>
      </c>
      <c r="N60" s="27">
        <v>330</v>
      </c>
    </row>
    <row r="62" spans="1:14" x14ac:dyDescent="0.35">
      <c r="A62" s="156" t="s">
        <v>104</v>
      </c>
      <c r="B62" s="156"/>
    </row>
    <row r="63" spans="1:14" x14ac:dyDescent="0.35">
      <c r="A63" s="5" t="s">
        <v>78</v>
      </c>
      <c r="B63" s="5" t="s">
        <v>79</v>
      </c>
    </row>
    <row r="64" spans="1:14" x14ac:dyDescent="0.35">
      <c r="A64" s="2" t="s">
        <v>171</v>
      </c>
      <c r="B64" s="13"/>
    </row>
    <row r="65" spans="1:6" x14ac:dyDescent="0.35">
      <c r="A65" s="2" t="s">
        <v>297</v>
      </c>
      <c r="B65" s="13">
        <v>2100</v>
      </c>
    </row>
    <row r="68" spans="1:6" x14ac:dyDescent="0.35">
      <c r="A68" s="156" t="s">
        <v>298</v>
      </c>
      <c r="B68" s="156"/>
    </row>
    <row r="69" spans="1:6" x14ac:dyDescent="0.35">
      <c r="A69" s="5" t="s">
        <v>80</v>
      </c>
      <c r="B69" s="5" t="s">
        <v>81</v>
      </c>
    </row>
    <row r="70" spans="1:6" x14ac:dyDescent="0.35">
      <c r="A70" s="2" t="s">
        <v>128</v>
      </c>
      <c r="B70" s="13">
        <v>90</v>
      </c>
    </row>
    <row r="71" spans="1:6" x14ac:dyDescent="0.35">
      <c r="A71" s="2" t="s">
        <v>129</v>
      </c>
      <c r="B71" s="13">
        <v>35</v>
      </c>
    </row>
    <row r="72" spans="1:6" x14ac:dyDescent="0.35">
      <c r="A72" s="6" t="s">
        <v>106</v>
      </c>
      <c r="B72" s="13">
        <v>100</v>
      </c>
    </row>
    <row r="74" spans="1:6" x14ac:dyDescent="0.35">
      <c r="A74" s="156" t="s">
        <v>105</v>
      </c>
      <c r="B74" s="156"/>
      <c r="C74" s="156"/>
      <c r="D74" s="156"/>
    </row>
    <row r="75" spans="1:6" s="23" customFormat="1" x14ac:dyDescent="0.35">
      <c r="A75" s="10" t="s">
        <v>82</v>
      </c>
      <c r="B75" s="10" t="s">
        <v>83</v>
      </c>
      <c r="C75" s="10" t="s">
        <v>84</v>
      </c>
      <c r="D75" s="10" t="s">
        <v>85</v>
      </c>
      <c r="F75" s="8"/>
    </row>
    <row r="76" spans="1:6" x14ac:dyDescent="0.35">
      <c r="A76" s="6" t="s">
        <v>130</v>
      </c>
      <c r="B76" s="6" t="s">
        <v>299</v>
      </c>
      <c r="C76" s="13">
        <v>260</v>
      </c>
      <c r="D76" s="22">
        <f>C76*35.3146</f>
        <v>9181.7960000000003</v>
      </c>
    </row>
    <row r="77" spans="1:6" x14ac:dyDescent="0.35">
      <c r="A77" s="6" t="s">
        <v>132</v>
      </c>
      <c r="B77" s="6" t="s">
        <v>299</v>
      </c>
      <c r="C77" s="13">
        <v>260</v>
      </c>
      <c r="D77" s="22">
        <f t="shared" ref="D77:D102" si="0">C77*35.3146</f>
        <v>9181.7960000000003</v>
      </c>
    </row>
    <row r="78" spans="1:6" x14ac:dyDescent="0.35">
      <c r="A78" s="6" t="s">
        <v>300</v>
      </c>
      <c r="B78" s="6" t="s">
        <v>131</v>
      </c>
      <c r="C78" s="13">
        <v>110</v>
      </c>
      <c r="D78" s="22">
        <f t="shared" si="0"/>
        <v>3884.6059999999998</v>
      </c>
    </row>
    <row r="79" spans="1:6" x14ac:dyDescent="0.35">
      <c r="A79" s="6" t="s">
        <v>301</v>
      </c>
      <c r="B79" s="6" t="s">
        <v>131</v>
      </c>
      <c r="C79" s="13">
        <v>110</v>
      </c>
      <c r="D79" s="22">
        <f t="shared" si="0"/>
        <v>3884.6059999999998</v>
      </c>
    </row>
    <row r="80" spans="1:6" x14ac:dyDescent="0.35">
      <c r="A80" s="2" t="s">
        <v>302</v>
      </c>
      <c r="B80" s="6" t="s">
        <v>303</v>
      </c>
      <c r="C80" s="13">
        <v>110</v>
      </c>
      <c r="D80" s="22">
        <f t="shared" si="0"/>
        <v>3884.6059999999998</v>
      </c>
    </row>
    <row r="81" spans="1:4" x14ac:dyDescent="0.35">
      <c r="A81" s="2" t="s">
        <v>304</v>
      </c>
      <c r="B81" s="6" t="s">
        <v>303</v>
      </c>
      <c r="C81" s="13">
        <v>110</v>
      </c>
      <c r="D81" s="22">
        <f t="shared" si="0"/>
        <v>3884.6059999999998</v>
      </c>
    </row>
    <row r="82" spans="1:4" x14ac:dyDescent="0.35">
      <c r="A82" s="6" t="s">
        <v>130</v>
      </c>
      <c r="B82" s="6" t="s">
        <v>135</v>
      </c>
      <c r="C82" s="13">
        <v>80</v>
      </c>
      <c r="D82" s="22">
        <f t="shared" si="0"/>
        <v>2825.1679999999997</v>
      </c>
    </row>
    <row r="83" spans="1:4" x14ac:dyDescent="0.35">
      <c r="A83" s="6" t="s">
        <v>132</v>
      </c>
      <c r="B83" s="6" t="s">
        <v>135</v>
      </c>
      <c r="C83" s="13">
        <v>80</v>
      </c>
      <c r="D83" s="22">
        <f t="shared" si="0"/>
        <v>2825.1679999999997</v>
      </c>
    </row>
    <row r="84" spans="1:4" x14ac:dyDescent="0.35">
      <c r="A84" s="2" t="s">
        <v>157</v>
      </c>
      <c r="B84" s="6" t="s">
        <v>135</v>
      </c>
      <c r="C84" s="13">
        <v>75</v>
      </c>
      <c r="D84" s="22">
        <f t="shared" si="0"/>
        <v>2648.5949999999998</v>
      </c>
    </row>
    <row r="85" spans="1:4" x14ac:dyDescent="0.35">
      <c r="A85" s="2" t="s">
        <v>158</v>
      </c>
      <c r="B85" s="6" t="s">
        <v>135</v>
      </c>
      <c r="C85" s="13">
        <v>75</v>
      </c>
      <c r="D85" s="22">
        <f t="shared" si="0"/>
        <v>2648.5949999999998</v>
      </c>
    </row>
    <row r="86" spans="1:4" x14ac:dyDescent="0.35">
      <c r="A86" s="2" t="s">
        <v>305</v>
      </c>
      <c r="B86" s="6" t="s">
        <v>135</v>
      </c>
      <c r="C86" s="13">
        <v>33</v>
      </c>
      <c r="D86" s="22">
        <f t="shared" si="0"/>
        <v>1165.3817999999999</v>
      </c>
    </row>
    <row r="87" spans="1:4" x14ac:dyDescent="0.35">
      <c r="A87" s="2" t="s">
        <v>306</v>
      </c>
      <c r="B87" s="6" t="s">
        <v>135</v>
      </c>
      <c r="C87" s="13">
        <v>33</v>
      </c>
      <c r="D87" s="22">
        <f t="shared" si="0"/>
        <v>1165.3817999999999</v>
      </c>
    </row>
    <row r="88" spans="1:4" x14ac:dyDescent="0.35">
      <c r="A88" s="2" t="s">
        <v>159</v>
      </c>
      <c r="B88" s="6" t="s">
        <v>131</v>
      </c>
      <c r="C88" s="13">
        <v>348</v>
      </c>
      <c r="D88" s="22">
        <f t="shared" si="0"/>
        <v>12289.480799999999</v>
      </c>
    </row>
    <row r="89" spans="1:4" s="30" customFormat="1" ht="18" customHeight="1" x14ac:dyDescent="0.35">
      <c r="A89" s="16" t="s">
        <v>307</v>
      </c>
      <c r="B89" s="7" t="s">
        <v>131</v>
      </c>
      <c r="C89" s="15">
        <v>75</v>
      </c>
      <c r="D89" s="71">
        <f t="shared" si="0"/>
        <v>2648.5949999999998</v>
      </c>
    </row>
    <row r="90" spans="1:4" s="30" customFormat="1" x14ac:dyDescent="0.35">
      <c r="A90" s="16" t="s">
        <v>308</v>
      </c>
      <c r="B90" s="7" t="s">
        <v>131</v>
      </c>
      <c r="C90" s="15">
        <v>75</v>
      </c>
      <c r="D90" s="71">
        <f t="shared" si="0"/>
        <v>2648.5949999999998</v>
      </c>
    </row>
    <row r="91" spans="1:4" s="30" customFormat="1" x14ac:dyDescent="0.35">
      <c r="A91" s="16" t="s">
        <v>309</v>
      </c>
      <c r="B91" s="7" t="s">
        <v>131</v>
      </c>
      <c r="C91" s="15">
        <v>75</v>
      </c>
      <c r="D91" s="71">
        <f t="shared" si="0"/>
        <v>2648.5949999999998</v>
      </c>
    </row>
    <row r="92" spans="1:4" s="30" customFormat="1" x14ac:dyDescent="0.35">
      <c r="A92" s="16" t="s">
        <v>310</v>
      </c>
      <c r="B92" s="7" t="s">
        <v>131</v>
      </c>
      <c r="C92" s="15">
        <v>75</v>
      </c>
      <c r="D92" s="71">
        <f t="shared" si="0"/>
        <v>2648.5949999999998</v>
      </c>
    </row>
    <row r="93" spans="1:4" s="30" customFormat="1" x14ac:dyDescent="0.35">
      <c r="A93" s="16" t="s">
        <v>311</v>
      </c>
      <c r="B93" s="7" t="s">
        <v>131</v>
      </c>
      <c r="C93" s="15">
        <v>192</v>
      </c>
      <c r="D93" s="71">
        <f t="shared" si="0"/>
        <v>6780.4031999999997</v>
      </c>
    </row>
    <row r="94" spans="1:4" s="30" customFormat="1" x14ac:dyDescent="0.35">
      <c r="A94" s="16" t="s">
        <v>312</v>
      </c>
      <c r="B94" s="7" t="s">
        <v>131</v>
      </c>
      <c r="C94" s="15">
        <v>192</v>
      </c>
      <c r="D94" s="71">
        <f t="shared" si="0"/>
        <v>6780.4031999999997</v>
      </c>
    </row>
    <row r="95" spans="1:4" s="30" customFormat="1" x14ac:dyDescent="0.35">
      <c r="A95" s="16" t="s">
        <v>313</v>
      </c>
      <c r="B95" s="7" t="s">
        <v>131</v>
      </c>
      <c r="C95" s="15">
        <v>192</v>
      </c>
      <c r="D95" s="71">
        <f t="shared" si="0"/>
        <v>6780.4031999999997</v>
      </c>
    </row>
    <row r="96" spans="1:4" s="30" customFormat="1" x14ac:dyDescent="0.35">
      <c r="A96" s="16" t="s">
        <v>314</v>
      </c>
      <c r="B96" s="7" t="s">
        <v>131</v>
      </c>
      <c r="C96" s="15">
        <v>192</v>
      </c>
      <c r="D96" s="71">
        <f t="shared" si="0"/>
        <v>6780.4031999999997</v>
      </c>
    </row>
    <row r="97" spans="1:10" x14ac:dyDescent="0.35">
      <c r="A97" s="2" t="s">
        <v>315</v>
      </c>
      <c r="B97" s="6" t="s">
        <v>131</v>
      </c>
      <c r="C97" s="13">
        <v>340</v>
      </c>
      <c r="D97" s="22">
        <f t="shared" si="0"/>
        <v>12006.964</v>
      </c>
    </row>
    <row r="98" spans="1:10" x14ac:dyDescent="0.35">
      <c r="A98" s="2" t="s">
        <v>160</v>
      </c>
      <c r="B98" s="6" t="s">
        <v>131</v>
      </c>
      <c r="C98" s="13">
        <v>116</v>
      </c>
      <c r="D98" s="22">
        <f t="shared" si="0"/>
        <v>4096.4935999999998</v>
      </c>
    </row>
    <row r="99" spans="1:10" x14ac:dyDescent="0.35">
      <c r="A99" s="2" t="s">
        <v>316</v>
      </c>
      <c r="B99" s="6" t="s">
        <v>131</v>
      </c>
      <c r="C99" s="13">
        <v>160</v>
      </c>
      <c r="D99" s="22">
        <f t="shared" si="0"/>
        <v>5650.3359999999993</v>
      </c>
    </row>
    <row r="100" spans="1:10" x14ac:dyDescent="0.35">
      <c r="A100" s="2" t="s">
        <v>317</v>
      </c>
      <c r="B100" s="6" t="s">
        <v>131</v>
      </c>
      <c r="C100" s="13">
        <v>132</v>
      </c>
      <c r="D100" s="22">
        <f t="shared" si="0"/>
        <v>4661.5271999999995</v>
      </c>
    </row>
    <row r="101" spans="1:10" x14ac:dyDescent="0.35">
      <c r="A101" s="2" t="s">
        <v>318</v>
      </c>
      <c r="B101" s="6" t="s">
        <v>131</v>
      </c>
      <c r="C101" s="13">
        <v>116</v>
      </c>
      <c r="D101" s="22">
        <f t="shared" si="0"/>
        <v>4096.4935999999998</v>
      </c>
    </row>
    <row r="102" spans="1:10" x14ac:dyDescent="0.35">
      <c r="A102" s="2" t="s">
        <v>319</v>
      </c>
      <c r="B102" s="6" t="s">
        <v>320</v>
      </c>
      <c r="C102" s="13">
        <v>50</v>
      </c>
      <c r="D102" s="22">
        <f t="shared" si="0"/>
        <v>1765.73</v>
      </c>
    </row>
    <row r="103" spans="1:10" x14ac:dyDescent="0.35">
      <c r="A103" s="2"/>
      <c r="B103" s="6"/>
      <c r="C103" s="13"/>
      <c r="D103" s="22"/>
    </row>
    <row r="105" spans="1:10" x14ac:dyDescent="0.35">
      <c r="A105" s="163" t="s">
        <v>92</v>
      </c>
      <c r="B105" s="164"/>
      <c r="C105" s="164"/>
      <c r="D105" s="165"/>
      <c r="E105" s="10"/>
      <c r="F105" s="10"/>
      <c r="G105" s="10"/>
      <c r="H105" s="10"/>
      <c r="I105" s="10"/>
      <c r="J105" s="10"/>
    </row>
    <row r="106" spans="1:10" s="23" customFormat="1" x14ac:dyDescent="0.35">
      <c r="A106" s="10" t="s">
        <v>22</v>
      </c>
      <c r="B106" s="10" t="s">
        <v>30</v>
      </c>
      <c r="C106" s="10" t="s">
        <v>31</v>
      </c>
      <c r="D106" s="10" t="s">
        <v>32</v>
      </c>
      <c r="E106" s="10" t="s">
        <v>33</v>
      </c>
      <c r="F106" s="10" t="s">
        <v>34</v>
      </c>
      <c r="G106" s="10" t="s">
        <v>35</v>
      </c>
      <c r="H106" s="10" t="s">
        <v>36</v>
      </c>
      <c r="I106" s="10" t="s">
        <v>693</v>
      </c>
      <c r="J106" s="10" t="s">
        <v>694</v>
      </c>
    </row>
    <row r="107" spans="1:10" x14ac:dyDescent="0.35">
      <c r="A107" s="2" t="s">
        <v>264</v>
      </c>
      <c r="B107" s="15">
        <v>730</v>
      </c>
      <c r="C107" s="15">
        <v>20</v>
      </c>
      <c r="D107" s="15">
        <v>0</v>
      </c>
      <c r="E107" s="15">
        <v>20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</row>
    <row r="108" spans="1:10" x14ac:dyDescent="0.35">
      <c r="A108" s="2" t="s">
        <v>284</v>
      </c>
      <c r="B108" s="15">
        <v>352</v>
      </c>
      <c r="C108" s="15">
        <v>353</v>
      </c>
      <c r="D108" s="15">
        <v>0</v>
      </c>
      <c r="E108" s="15">
        <v>0</v>
      </c>
      <c r="F108" s="15">
        <v>352</v>
      </c>
      <c r="G108" s="15">
        <v>0</v>
      </c>
      <c r="H108" s="15">
        <v>0</v>
      </c>
      <c r="I108" s="15">
        <v>0</v>
      </c>
      <c r="J108" s="15">
        <v>0</v>
      </c>
    </row>
    <row r="109" spans="1:10" x14ac:dyDescent="0.35">
      <c r="A109" s="6" t="s">
        <v>119</v>
      </c>
      <c r="B109" s="15">
        <v>550</v>
      </c>
      <c r="C109" s="15">
        <v>550</v>
      </c>
      <c r="D109" s="15">
        <v>0</v>
      </c>
      <c r="E109" s="15">
        <v>0</v>
      </c>
      <c r="F109" s="15">
        <v>550</v>
      </c>
      <c r="G109" s="15">
        <v>0</v>
      </c>
      <c r="H109" s="15">
        <v>0</v>
      </c>
      <c r="I109" s="15">
        <v>0</v>
      </c>
      <c r="J109" s="15">
        <v>0</v>
      </c>
    </row>
    <row r="110" spans="1:10" x14ac:dyDescent="0.35">
      <c r="A110" s="6"/>
      <c r="B110" s="6"/>
      <c r="C110" s="6"/>
      <c r="D110" s="6"/>
      <c r="E110" s="6"/>
      <c r="F110" s="6"/>
      <c r="G110" s="6"/>
      <c r="H110" s="6"/>
      <c r="I110" s="6"/>
      <c r="J110" s="6"/>
    </row>
    <row r="111" spans="1:10" x14ac:dyDescent="0.35">
      <c r="A111" s="163" t="s">
        <v>109</v>
      </c>
      <c r="B111" s="164"/>
      <c r="C111" s="164"/>
      <c r="D111" s="165"/>
      <c r="E111" s="10"/>
      <c r="F111" s="10"/>
      <c r="G111" s="10"/>
      <c r="H111" s="10"/>
      <c r="I111" s="10"/>
      <c r="J111" s="10"/>
    </row>
    <row r="112" spans="1:10" s="23" customFormat="1" x14ac:dyDescent="0.35">
      <c r="A112" s="10" t="s">
        <v>22</v>
      </c>
      <c r="B112" s="10" t="s">
        <v>30</v>
      </c>
      <c r="C112" s="10" t="s">
        <v>31</v>
      </c>
      <c r="D112" s="10" t="s">
        <v>32</v>
      </c>
      <c r="E112" s="10" t="s">
        <v>33</v>
      </c>
      <c r="F112" s="10" t="s">
        <v>34</v>
      </c>
      <c r="G112" s="10" t="s">
        <v>35</v>
      </c>
      <c r="H112" s="10" t="s">
        <v>36</v>
      </c>
      <c r="I112" s="10" t="s">
        <v>37</v>
      </c>
      <c r="J112" s="10" t="s">
        <v>38</v>
      </c>
    </row>
    <row r="113" spans="1:11" x14ac:dyDescent="0.35">
      <c r="A113" s="17">
        <v>0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</row>
    <row r="114" spans="1:11" x14ac:dyDescent="0.35">
      <c r="A114" s="13">
        <v>0</v>
      </c>
      <c r="B114" s="13">
        <v>0</v>
      </c>
      <c r="C114" s="13">
        <v>0</v>
      </c>
      <c r="D114" s="13">
        <v>0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</row>
    <row r="115" spans="1:11" x14ac:dyDescent="0.35">
      <c r="B115" s="6"/>
      <c r="C115" s="6"/>
      <c r="D115" s="6"/>
      <c r="E115" s="6"/>
      <c r="F115" s="6"/>
      <c r="G115" s="6"/>
      <c r="H115" s="6"/>
      <c r="I115" s="6"/>
      <c r="J115" s="6"/>
    </row>
    <row r="116" spans="1:11" s="23" customFormat="1" x14ac:dyDescent="0.35">
      <c r="B116" s="12" t="s">
        <v>25</v>
      </c>
      <c r="C116" s="10" t="s">
        <v>26</v>
      </c>
      <c r="D116" s="12" t="s">
        <v>27</v>
      </c>
      <c r="E116" s="10" t="s">
        <v>26</v>
      </c>
      <c r="F116" s="12" t="s">
        <v>28</v>
      </c>
      <c r="G116" s="10" t="s">
        <v>26</v>
      </c>
      <c r="H116" s="12" t="s">
        <v>29</v>
      </c>
      <c r="I116" s="10" t="s">
        <v>138</v>
      </c>
      <c r="J116" s="10" t="s">
        <v>26</v>
      </c>
    </row>
    <row r="117" spans="1:11" x14ac:dyDescent="0.35">
      <c r="A117" s="6" t="s">
        <v>271</v>
      </c>
      <c r="B117" s="6" t="s">
        <v>136</v>
      </c>
      <c r="C117" s="13">
        <v>8</v>
      </c>
      <c r="D117" s="6" t="s">
        <v>95</v>
      </c>
      <c r="E117" s="13">
        <v>4</v>
      </c>
      <c r="F117" s="2" t="s">
        <v>97</v>
      </c>
      <c r="G117" s="13">
        <v>1</v>
      </c>
      <c r="H117" s="7" t="s">
        <v>117</v>
      </c>
      <c r="I117" s="15">
        <v>262237.02069599996</v>
      </c>
      <c r="J117" s="15">
        <v>1</v>
      </c>
    </row>
    <row r="118" spans="1:11" x14ac:dyDescent="0.35">
      <c r="A118" s="6"/>
      <c r="B118" s="6"/>
      <c r="C118" s="6"/>
      <c r="D118" s="6" t="s">
        <v>161</v>
      </c>
      <c r="E118" s="13">
        <v>5</v>
      </c>
      <c r="F118" s="2" t="s">
        <v>98</v>
      </c>
      <c r="G118" s="13">
        <v>1</v>
      </c>
      <c r="H118" s="7" t="s">
        <v>118</v>
      </c>
      <c r="I118" s="15">
        <v>251000.15492999999</v>
      </c>
      <c r="J118" s="15">
        <v>1</v>
      </c>
    </row>
    <row r="119" spans="1:11" x14ac:dyDescent="0.35">
      <c r="A119" s="6"/>
      <c r="B119" s="6"/>
      <c r="C119" s="6"/>
      <c r="D119" s="2" t="s">
        <v>96</v>
      </c>
      <c r="E119" s="13">
        <v>8</v>
      </c>
      <c r="F119" s="2" t="s">
        <v>137</v>
      </c>
      <c r="G119" s="13">
        <v>0</v>
      </c>
      <c r="H119" s="7" t="s">
        <v>119</v>
      </c>
      <c r="I119" s="15">
        <v>250942.67570399999</v>
      </c>
      <c r="J119" s="15">
        <v>1</v>
      </c>
    </row>
    <row r="120" spans="1:11" x14ac:dyDescent="0.35">
      <c r="D120" s="2" t="s">
        <v>163</v>
      </c>
      <c r="E120" s="13">
        <v>10</v>
      </c>
      <c r="F120" s="2" t="s">
        <v>165</v>
      </c>
      <c r="G120" s="13">
        <v>0</v>
      </c>
      <c r="I120" s="23"/>
      <c r="J120" s="23"/>
    </row>
    <row r="121" spans="1:11" x14ac:dyDescent="0.35">
      <c r="D121" s="2" t="s">
        <v>164</v>
      </c>
      <c r="E121" s="13">
        <v>12</v>
      </c>
      <c r="F121" s="16" t="s">
        <v>166</v>
      </c>
      <c r="G121" s="15">
        <v>0</v>
      </c>
      <c r="I121" s="23"/>
      <c r="J121" s="23"/>
    </row>
    <row r="122" spans="1:11" x14ac:dyDescent="0.35">
      <c r="D122" s="2" t="s">
        <v>162</v>
      </c>
      <c r="E122" s="13">
        <v>4</v>
      </c>
      <c r="F122" s="29"/>
      <c r="G122" s="23"/>
      <c r="I122" s="23"/>
      <c r="J122" s="23"/>
    </row>
    <row r="123" spans="1:11" x14ac:dyDescent="0.35">
      <c r="D123" s="2" t="s">
        <v>170</v>
      </c>
      <c r="E123" s="13">
        <v>0</v>
      </c>
    </row>
    <row r="125" spans="1:11" x14ac:dyDescent="0.35">
      <c r="A125" s="166" t="s">
        <v>101</v>
      </c>
      <c r="B125" s="167"/>
      <c r="C125" s="167"/>
      <c r="D125" s="167"/>
      <c r="E125" s="167"/>
      <c r="F125" s="168"/>
    </row>
    <row r="126" spans="1:11" x14ac:dyDescent="0.35">
      <c r="A126" s="5" t="s">
        <v>10</v>
      </c>
      <c r="B126" s="5" t="s">
        <v>22</v>
      </c>
      <c r="C126" s="5" t="s">
        <v>24</v>
      </c>
      <c r="D126" s="5" t="s">
        <v>61</v>
      </c>
      <c r="E126" s="5" t="s">
        <v>62</v>
      </c>
      <c r="F126" s="5" t="s">
        <v>63</v>
      </c>
    </row>
    <row r="127" spans="1:11" x14ac:dyDescent="0.35">
      <c r="A127" s="2"/>
      <c r="B127" s="2" t="s">
        <v>285</v>
      </c>
      <c r="C127" s="1" t="s">
        <v>94</v>
      </c>
      <c r="D127" s="24" t="s">
        <v>280</v>
      </c>
      <c r="E127" s="25">
        <v>22052</v>
      </c>
      <c r="F127" s="25"/>
    </row>
    <row r="128" spans="1:11" x14ac:dyDescent="0.35">
      <c r="A128" s="2"/>
      <c r="B128" s="2" t="s">
        <v>286</v>
      </c>
      <c r="C128" s="26" t="s">
        <v>94</v>
      </c>
      <c r="D128" s="25" t="s">
        <v>281</v>
      </c>
      <c r="E128" s="25">
        <v>22035</v>
      </c>
      <c r="F128" s="25"/>
      <c r="H128" s="169"/>
      <c r="I128" s="169"/>
      <c r="J128" s="169"/>
      <c r="K128" s="169"/>
    </row>
    <row r="129" spans="1:11" x14ac:dyDescent="0.35">
      <c r="A129" s="2"/>
      <c r="B129" s="2" t="s">
        <v>286</v>
      </c>
      <c r="C129" s="1" t="s">
        <v>94</v>
      </c>
      <c r="D129" s="24" t="s">
        <v>282</v>
      </c>
      <c r="E129" s="25">
        <v>23496</v>
      </c>
      <c r="F129" s="25"/>
      <c r="H129" s="30"/>
      <c r="I129" s="30"/>
      <c r="J129" s="170"/>
      <c r="K129" s="171"/>
    </row>
    <row r="130" spans="1:11" ht="15" customHeight="1" x14ac:dyDescent="0.35">
      <c r="A130" s="2"/>
      <c r="B130" s="2" t="s">
        <v>286</v>
      </c>
      <c r="C130" s="1" t="s">
        <v>94</v>
      </c>
      <c r="D130" s="24" t="s">
        <v>287</v>
      </c>
      <c r="E130" s="25">
        <v>23496</v>
      </c>
      <c r="F130" s="25"/>
      <c r="H130" s="172"/>
      <c r="I130" s="172"/>
      <c r="J130" s="170"/>
      <c r="K130" s="171"/>
    </row>
    <row r="131" spans="1:11" x14ac:dyDescent="0.35">
      <c r="A131" s="2"/>
      <c r="B131" s="2" t="s">
        <v>286</v>
      </c>
      <c r="C131" s="26" t="s">
        <v>94</v>
      </c>
      <c r="D131" s="25" t="s">
        <v>288</v>
      </c>
      <c r="E131" s="25">
        <v>23496</v>
      </c>
      <c r="F131" s="25"/>
      <c r="H131" s="30"/>
      <c r="I131" s="30"/>
      <c r="J131" s="31"/>
      <c r="K131" s="31"/>
    </row>
    <row r="132" spans="1:11" x14ac:dyDescent="0.35">
      <c r="A132" s="2"/>
      <c r="B132" s="2" t="s">
        <v>286</v>
      </c>
      <c r="C132" s="1" t="s">
        <v>94</v>
      </c>
      <c r="D132" s="25" t="s">
        <v>289</v>
      </c>
      <c r="E132" s="25">
        <v>23495</v>
      </c>
      <c r="F132" s="25"/>
      <c r="G132" s="9"/>
      <c r="H132" s="33"/>
      <c r="I132" s="33"/>
      <c r="J132" s="32"/>
      <c r="K132" s="32"/>
    </row>
    <row r="133" spans="1:11" x14ac:dyDescent="0.35">
      <c r="A133" s="2"/>
      <c r="B133" s="2" t="s">
        <v>286</v>
      </c>
      <c r="C133" s="1" t="s">
        <v>94</v>
      </c>
      <c r="D133" s="24" t="s">
        <v>290</v>
      </c>
      <c r="E133" s="25">
        <v>26326</v>
      </c>
      <c r="F133" s="25"/>
      <c r="G133" s="9"/>
      <c r="H133" s="33"/>
      <c r="I133" s="33"/>
      <c r="J133" s="32"/>
      <c r="K133" s="32"/>
    </row>
    <row r="134" spans="1:11" x14ac:dyDescent="0.35">
      <c r="A134" s="2"/>
      <c r="B134" s="2" t="s">
        <v>286</v>
      </c>
      <c r="C134" s="1" t="s">
        <v>94</v>
      </c>
      <c r="D134" s="24" t="s">
        <v>291</v>
      </c>
      <c r="E134" s="25">
        <v>22922</v>
      </c>
      <c r="F134" s="25"/>
      <c r="G134" s="9"/>
      <c r="H134" s="33"/>
      <c r="I134" s="33"/>
      <c r="J134" s="32"/>
      <c r="K134" s="32"/>
    </row>
    <row r="135" spans="1:11" x14ac:dyDescent="0.35">
      <c r="A135" s="2"/>
      <c r="B135" s="2" t="s">
        <v>292</v>
      </c>
      <c r="C135" s="1" t="s">
        <v>94</v>
      </c>
      <c r="D135" s="24" t="s">
        <v>280</v>
      </c>
      <c r="E135" s="25">
        <v>23593</v>
      </c>
      <c r="F135" s="25"/>
      <c r="G135" s="9"/>
      <c r="H135" s="33"/>
      <c r="I135" s="33"/>
      <c r="J135" s="32"/>
      <c r="K135" s="32"/>
    </row>
    <row r="136" spans="1:11" x14ac:dyDescent="0.35">
      <c r="A136" s="2"/>
      <c r="B136" s="2" t="s">
        <v>293</v>
      </c>
      <c r="C136" s="1" t="s">
        <v>94</v>
      </c>
      <c r="D136" s="24" t="s">
        <v>281</v>
      </c>
      <c r="E136" s="25">
        <v>18136</v>
      </c>
      <c r="F136" s="25"/>
      <c r="G136" s="9"/>
      <c r="H136" s="33"/>
      <c r="I136" s="33"/>
      <c r="J136" s="32"/>
      <c r="K136" s="32"/>
    </row>
    <row r="137" spans="1:11" x14ac:dyDescent="0.35">
      <c r="A137" s="2"/>
      <c r="B137" s="2" t="s">
        <v>293</v>
      </c>
      <c r="C137" s="1" t="s">
        <v>94</v>
      </c>
      <c r="D137" s="24" t="s">
        <v>282</v>
      </c>
      <c r="E137" s="25">
        <v>26172</v>
      </c>
      <c r="F137" s="25"/>
      <c r="G137" s="9"/>
      <c r="H137" s="33"/>
      <c r="I137" s="33"/>
      <c r="J137" s="32"/>
      <c r="K137" s="32"/>
    </row>
    <row r="138" spans="1:11" x14ac:dyDescent="0.35">
      <c r="A138" s="2"/>
      <c r="B138" s="2" t="s">
        <v>293</v>
      </c>
      <c r="C138" s="1" t="s">
        <v>94</v>
      </c>
      <c r="D138" s="24" t="s">
        <v>287</v>
      </c>
      <c r="E138" s="25">
        <v>26172</v>
      </c>
      <c r="F138" s="25"/>
      <c r="G138" s="9"/>
      <c r="H138" s="33"/>
      <c r="I138" s="33"/>
      <c r="J138" s="32"/>
      <c r="K138" s="32"/>
    </row>
    <row r="139" spans="1:11" x14ac:dyDescent="0.35">
      <c r="A139" s="2"/>
      <c r="B139" s="2" t="s">
        <v>293</v>
      </c>
      <c r="C139" s="1" t="s">
        <v>94</v>
      </c>
      <c r="D139" s="24" t="s">
        <v>288</v>
      </c>
      <c r="E139" s="25">
        <v>26172</v>
      </c>
      <c r="F139" s="25"/>
      <c r="G139" s="9"/>
      <c r="H139" s="33"/>
      <c r="I139" s="33"/>
      <c r="J139" s="32"/>
      <c r="K139" s="32"/>
    </row>
    <row r="140" spans="1:11" x14ac:dyDescent="0.35">
      <c r="A140" s="2"/>
      <c r="B140" s="2" t="s">
        <v>293</v>
      </c>
      <c r="C140" s="1" t="s">
        <v>94</v>
      </c>
      <c r="D140" s="24" t="s">
        <v>289</v>
      </c>
      <c r="E140" s="25">
        <v>26172</v>
      </c>
      <c r="F140" s="25"/>
      <c r="G140" s="9"/>
      <c r="H140" s="33"/>
      <c r="I140" s="33"/>
      <c r="J140" s="32"/>
      <c r="K140" s="32"/>
    </row>
    <row r="141" spans="1:11" x14ac:dyDescent="0.35">
      <c r="A141" s="2"/>
      <c r="B141" s="2" t="s">
        <v>293</v>
      </c>
      <c r="C141" s="1" t="s">
        <v>94</v>
      </c>
      <c r="D141" s="24" t="s">
        <v>290</v>
      </c>
      <c r="E141" s="25">
        <v>18333</v>
      </c>
      <c r="F141" s="25"/>
      <c r="G141" s="9"/>
      <c r="H141" s="33"/>
      <c r="I141" s="33"/>
      <c r="J141" s="32"/>
      <c r="K141" s="32"/>
    </row>
    <row r="142" spans="1:11" x14ac:dyDescent="0.35">
      <c r="A142" s="2"/>
      <c r="B142" s="2" t="s">
        <v>293</v>
      </c>
      <c r="C142" s="1" t="s">
        <v>94</v>
      </c>
      <c r="D142" s="24" t="s">
        <v>291</v>
      </c>
      <c r="E142" s="25">
        <v>26091</v>
      </c>
      <c r="F142" s="25"/>
      <c r="G142" s="9"/>
      <c r="H142" s="33"/>
      <c r="I142" s="33"/>
      <c r="J142" s="32"/>
      <c r="K142" s="32"/>
    </row>
    <row r="143" spans="1:11" x14ac:dyDescent="0.35">
      <c r="A143" s="2"/>
      <c r="B143" s="2" t="s">
        <v>294</v>
      </c>
      <c r="C143" s="1" t="s">
        <v>94</v>
      </c>
      <c r="D143" s="24" t="s">
        <v>280</v>
      </c>
      <c r="E143" s="25">
        <v>26091</v>
      </c>
      <c r="F143" s="25"/>
      <c r="G143" s="9"/>
      <c r="H143" s="33"/>
      <c r="I143" s="33"/>
      <c r="J143" s="32"/>
      <c r="K143" s="32"/>
    </row>
    <row r="144" spans="1:11" x14ac:dyDescent="0.35">
      <c r="A144" s="2"/>
      <c r="B144" s="2" t="s">
        <v>294</v>
      </c>
      <c r="C144" s="1" t="s">
        <v>94</v>
      </c>
      <c r="D144" s="24" t="s">
        <v>281</v>
      </c>
      <c r="E144" s="25">
        <v>26091</v>
      </c>
      <c r="F144" s="25"/>
      <c r="G144" s="9"/>
      <c r="H144" s="33"/>
      <c r="I144" s="33"/>
      <c r="J144" s="32"/>
      <c r="K144" s="32"/>
    </row>
    <row r="145" spans="1:11" x14ac:dyDescent="0.35">
      <c r="A145" s="2"/>
      <c r="B145" s="2" t="s">
        <v>294</v>
      </c>
      <c r="C145" s="1" t="s">
        <v>94</v>
      </c>
      <c r="D145" s="24" t="s">
        <v>282</v>
      </c>
      <c r="E145" s="25">
        <v>26172</v>
      </c>
      <c r="F145" s="25"/>
      <c r="G145" s="9"/>
      <c r="H145" s="33"/>
      <c r="I145" s="33"/>
      <c r="J145" s="32"/>
      <c r="K145" s="32"/>
    </row>
    <row r="146" spans="1:11" x14ac:dyDescent="0.35">
      <c r="A146" s="2"/>
      <c r="B146" s="2" t="s">
        <v>294</v>
      </c>
      <c r="C146" s="1" t="s">
        <v>94</v>
      </c>
      <c r="D146" s="24" t="s">
        <v>287</v>
      </c>
      <c r="E146" s="25">
        <v>26172</v>
      </c>
      <c r="F146" s="25"/>
      <c r="G146" s="9"/>
      <c r="H146" s="33"/>
      <c r="I146" s="33"/>
      <c r="J146" s="32"/>
      <c r="K146" s="32"/>
    </row>
    <row r="147" spans="1:11" x14ac:dyDescent="0.35">
      <c r="A147" s="2"/>
      <c r="B147" s="2" t="s">
        <v>294</v>
      </c>
      <c r="C147" s="1" t="s">
        <v>94</v>
      </c>
      <c r="D147" s="24" t="s">
        <v>288</v>
      </c>
      <c r="E147" s="25">
        <v>26172</v>
      </c>
      <c r="F147" s="25"/>
      <c r="G147" s="9"/>
      <c r="H147" s="33"/>
      <c r="I147" s="33"/>
      <c r="J147" s="32"/>
      <c r="K147" s="32"/>
    </row>
    <row r="148" spans="1:11" x14ac:dyDescent="0.35">
      <c r="A148" s="2"/>
      <c r="B148" s="2" t="s">
        <v>294</v>
      </c>
      <c r="C148" s="1" t="s">
        <v>94</v>
      </c>
      <c r="D148" s="24" t="s">
        <v>289</v>
      </c>
      <c r="E148" s="25">
        <v>26172</v>
      </c>
      <c r="F148" s="25"/>
      <c r="G148" s="9"/>
      <c r="H148" s="33"/>
      <c r="I148" s="33"/>
      <c r="J148" s="32"/>
      <c r="K148" s="32"/>
    </row>
    <row r="149" spans="1:11" x14ac:dyDescent="0.35">
      <c r="A149" s="2"/>
      <c r="B149" s="2" t="s">
        <v>294</v>
      </c>
      <c r="C149" s="1" t="s">
        <v>94</v>
      </c>
      <c r="D149" s="24" t="s">
        <v>290</v>
      </c>
      <c r="E149" s="25">
        <v>31181</v>
      </c>
      <c r="F149" s="25"/>
      <c r="G149" s="9"/>
      <c r="H149" s="33"/>
      <c r="I149" s="33"/>
      <c r="J149" s="32"/>
      <c r="K149" s="32"/>
    </row>
    <row r="150" spans="1:11" x14ac:dyDescent="0.35">
      <c r="A150" s="2"/>
      <c r="B150" s="2" t="s">
        <v>294</v>
      </c>
      <c r="C150" s="1" t="s">
        <v>94</v>
      </c>
      <c r="D150" s="24" t="s">
        <v>291</v>
      </c>
      <c r="E150" s="25">
        <v>26091</v>
      </c>
      <c r="F150" s="25"/>
      <c r="G150" s="9"/>
      <c r="H150" s="33"/>
      <c r="I150" s="33"/>
      <c r="J150" s="32"/>
      <c r="K150" s="32"/>
    </row>
    <row r="151" spans="1:11" x14ac:dyDescent="0.35">
      <c r="A151" s="2"/>
      <c r="B151" s="2" t="s">
        <v>295</v>
      </c>
      <c r="C151" s="1" t="s">
        <v>94</v>
      </c>
      <c r="D151" s="24" t="s">
        <v>280</v>
      </c>
      <c r="E151" s="25">
        <v>21592</v>
      </c>
      <c r="F151" s="25"/>
      <c r="G151" s="9"/>
      <c r="H151" s="33"/>
      <c r="I151" s="33"/>
      <c r="J151" s="32"/>
      <c r="K151" s="32"/>
    </row>
    <row r="152" spans="1:11" x14ac:dyDescent="0.35">
      <c r="A152" s="2"/>
      <c r="B152" s="2" t="s">
        <v>295</v>
      </c>
      <c r="C152" s="1" t="s">
        <v>94</v>
      </c>
      <c r="D152" s="24" t="s">
        <v>281</v>
      </c>
      <c r="E152" s="25">
        <v>21592</v>
      </c>
      <c r="F152" s="25"/>
      <c r="G152" s="9"/>
      <c r="H152" s="33"/>
      <c r="I152" s="33"/>
      <c r="J152" s="32"/>
      <c r="K152" s="32"/>
    </row>
    <row r="153" spans="1:11" x14ac:dyDescent="0.35">
      <c r="A153" s="2"/>
      <c r="B153" s="2" t="s">
        <v>295</v>
      </c>
      <c r="C153" s="1" t="s">
        <v>94</v>
      </c>
      <c r="D153" s="24" t="s">
        <v>282</v>
      </c>
      <c r="E153" s="25">
        <v>23016</v>
      </c>
      <c r="F153" s="25"/>
      <c r="G153" s="9"/>
      <c r="H153" s="33"/>
      <c r="I153" s="33"/>
      <c r="J153" s="32"/>
      <c r="K153" s="32"/>
    </row>
    <row r="154" spans="1:11" x14ac:dyDescent="0.35">
      <c r="A154" s="2"/>
      <c r="B154" s="2" t="s">
        <v>295</v>
      </c>
      <c r="C154" s="1" t="s">
        <v>94</v>
      </c>
      <c r="D154" s="24" t="s">
        <v>287</v>
      </c>
      <c r="E154" s="25">
        <v>23016</v>
      </c>
      <c r="F154" s="25"/>
      <c r="G154" s="9"/>
      <c r="H154" s="33"/>
      <c r="I154" s="33"/>
      <c r="J154" s="32"/>
      <c r="K154" s="32"/>
    </row>
    <row r="155" spans="1:11" x14ac:dyDescent="0.35">
      <c r="A155" s="2"/>
      <c r="B155" s="2" t="s">
        <v>295</v>
      </c>
      <c r="C155" s="1" t="s">
        <v>94</v>
      </c>
      <c r="D155" s="24" t="s">
        <v>288</v>
      </c>
      <c r="E155" s="25">
        <v>23016</v>
      </c>
      <c r="F155" s="25"/>
      <c r="G155" s="9"/>
      <c r="H155" s="33"/>
      <c r="I155" s="33"/>
      <c r="J155" s="32"/>
      <c r="K155" s="32"/>
    </row>
    <row r="156" spans="1:11" x14ac:dyDescent="0.35">
      <c r="A156" s="2"/>
      <c r="B156" s="2" t="s">
        <v>295</v>
      </c>
      <c r="C156" s="1" t="s">
        <v>94</v>
      </c>
      <c r="D156" s="24" t="s">
        <v>289</v>
      </c>
      <c r="E156" s="25">
        <v>23016</v>
      </c>
      <c r="F156" s="25"/>
      <c r="G156" s="9"/>
      <c r="H156" s="33"/>
      <c r="I156" s="33"/>
      <c r="J156" s="32"/>
      <c r="K156" s="32"/>
    </row>
    <row r="157" spans="1:11" x14ac:dyDescent="0.35">
      <c r="A157" s="2"/>
      <c r="B157" s="2" t="s">
        <v>295</v>
      </c>
      <c r="C157" s="1" t="s">
        <v>94</v>
      </c>
      <c r="D157" s="24" t="s">
        <v>290</v>
      </c>
      <c r="E157" s="25">
        <v>23016</v>
      </c>
      <c r="F157" s="25"/>
      <c r="G157" s="9"/>
      <c r="H157" s="33"/>
      <c r="I157" s="33"/>
      <c r="J157" s="32"/>
      <c r="K157" s="32"/>
    </row>
    <row r="158" spans="1:11" x14ac:dyDescent="0.35">
      <c r="A158" s="2"/>
      <c r="B158" s="2" t="s">
        <v>295</v>
      </c>
      <c r="C158" s="1" t="s">
        <v>94</v>
      </c>
      <c r="D158" s="24" t="s">
        <v>291</v>
      </c>
      <c r="E158" s="25">
        <v>23533</v>
      </c>
      <c r="F158" s="25"/>
      <c r="G158" s="9"/>
      <c r="H158" s="33"/>
      <c r="I158" s="33"/>
      <c r="J158" s="32"/>
      <c r="K158" s="32"/>
    </row>
    <row r="159" spans="1:11" x14ac:dyDescent="0.35">
      <c r="A159" s="2"/>
      <c r="B159" s="2"/>
      <c r="C159" s="1"/>
      <c r="D159" s="24"/>
      <c r="E159" s="25"/>
      <c r="F159" s="25"/>
      <c r="G159" s="9"/>
      <c r="H159" s="33"/>
      <c r="I159" s="33"/>
      <c r="J159" s="32"/>
      <c r="K159" s="32"/>
    </row>
    <row r="161" spans="1:10" x14ac:dyDescent="0.35">
      <c r="A161" s="155" t="s">
        <v>108</v>
      </c>
      <c r="B161" s="155"/>
      <c r="C161" s="155"/>
      <c r="D161" s="155"/>
      <c r="E161" s="155"/>
      <c r="F161" s="155"/>
    </row>
    <row r="163" spans="1:10" x14ac:dyDescent="0.35">
      <c r="A163" s="156" t="s">
        <v>100</v>
      </c>
      <c r="B163" s="156"/>
      <c r="C163" s="156"/>
      <c r="D163" s="156"/>
      <c r="E163" s="156"/>
      <c r="F163" s="156"/>
      <c r="G163" s="156"/>
      <c r="H163" s="156"/>
      <c r="I163" s="156"/>
      <c r="J163" s="156"/>
    </row>
    <row r="164" spans="1:10" x14ac:dyDescent="0.35">
      <c r="A164" s="5" t="s">
        <v>51</v>
      </c>
      <c r="B164" s="5" t="s">
        <v>52</v>
      </c>
      <c r="C164" s="5" t="s">
        <v>53</v>
      </c>
      <c r="D164" s="5" t="s">
        <v>54</v>
      </c>
      <c r="E164" s="5" t="s">
        <v>55</v>
      </c>
      <c r="F164" s="5" t="s">
        <v>56</v>
      </c>
      <c r="G164" s="5" t="s">
        <v>57</v>
      </c>
      <c r="H164" s="5" t="s">
        <v>58</v>
      </c>
      <c r="I164" s="5" t="s">
        <v>59</v>
      </c>
      <c r="J164" s="5" t="s">
        <v>60</v>
      </c>
    </row>
    <row r="165" spans="1:10" x14ac:dyDescent="0.35">
      <c r="A165" s="38" t="s">
        <v>321</v>
      </c>
      <c r="B165" s="38" t="s">
        <v>321</v>
      </c>
      <c r="C165" s="28"/>
      <c r="D165" s="28"/>
      <c r="E165" s="28">
        <v>1250</v>
      </c>
      <c r="F165" s="28">
        <v>55</v>
      </c>
      <c r="G165" s="28">
        <f>F165+E165</f>
        <v>1305</v>
      </c>
      <c r="H165" s="28">
        <v>365</v>
      </c>
      <c r="I165" s="28">
        <v>0</v>
      </c>
      <c r="J165" s="28">
        <v>365</v>
      </c>
    </row>
    <row r="166" spans="1:10" x14ac:dyDescent="0.35">
      <c r="A166" s="38" t="s">
        <v>322</v>
      </c>
      <c r="B166" s="38" t="s">
        <v>322</v>
      </c>
      <c r="C166" s="28"/>
      <c r="D166" s="28"/>
      <c r="E166" s="28">
        <v>1232</v>
      </c>
      <c r="F166" s="28">
        <v>55</v>
      </c>
      <c r="G166" s="28">
        <f t="shared" ref="G166:G173" si="1">F166+E166</f>
        <v>1287</v>
      </c>
      <c r="H166" s="28">
        <v>334</v>
      </c>
      <c r="I166" s="28">
        <v>0</v>
      </c>
      <c r="J166" s="28">
        <v>334</v>
      </c>
    </row>
    <row r="167" spans="1:10" x14ac:dyDescent="0.35">
      <c r="A167" s="38" t="s">
        <v>229</v>
      </c>
      <c r="B167" s="38" t="s">
        <v>229</v>
      </c>
      <c r="C167" s="28"/>
      <c r="D167" s="28"/>
      <c r="E167" s="28">
        <v>350</v>
      </c>
      <c r="F167" s="28">
        <v>40</v>
      </c>
      <c r="G167" s="28">
        <f t="shared" si="1"/>
        <v>390</v>
      </c>
      <c r="H167" s="28">
        <v>102</v>
      </c>
      <c r="I167" s="28">
        <v>0</v>
      </c>
      <c r="J167" s="28">
        <v>102</v>
      </c>
    </row>
    <row r="168" spans="1:10" x14ac:dyDescent="0.35">
      <c r="A168" s="38" t="s">
        <v>323</v>
      </c>
      <c r="B168" s="38" t="s">
        <v>323</v>
      </c>
      <c r="C168" s="28"/>
      <c r="D168" s="28"/>
      <c r="E168" s="28">
        <v>150</v>
      </c>
      <c r="F168" s="28">
        <v>30</v>
      </c>
      <c r="G168" s="28">
        <f t="shared" si="1"/>
        <v>180</v>
      </c>
      <c r="H168" s="28">
        <v>70</v>
      </c>
      <c r="I168" s="28">
        <v>0</v>
      </c>
      <c r="J168" s="28">
        <v>70</v>
      </c>
    </row>
    <row r="169" spans="1:10" x14ac:dyDescent="0.35">
      <c r="A169" s="38" t="s">
        <v>324</v>
      </c>
      <c r="B169" s="38" t="s">
        <v>324</v>
      </c>
      <c r="C169" s="28"/>
      <c r="D169" s="28"/>
      <c r="E169" s="28">
        <v>70</v>
      </c>
      <c r="F169" s="28">
        <v>15</v>
      </c>
      <c r="G169" s="28">
        <f t="shared" si="1"/>
        <v>85</v>
      </c>
      <c r="H169" s="28">
        <v>29</v>
      </c>
      <c r="I169" s="28">
        <v>0</v>
      </c>
      <c r="J169" s="28">
        <v>29</v>
      </c>
    </row>
    <row r="170" spans="1:10" x14ac:dyDescent="0.35">
      <c r="A170" s="38" t="s">
        <v>325</v>
      </c>
      <c r="B170" s="38" t="s">
        <v>325</v>
      </c>
      <c r="C170" s="28"/>
      <c r="D170" s="28"/>
      <c r="E170" s="28">
        <v>72</v>
      </c>
      <c r="F170" s="28">
        <v>15</v>
      </c>
      <c r="G170" s="28">
        <f t="shared" si="1"/>
        <v>87</v>
      </c>
      <c r="H170" s="28">
        <v>35</v>
      </c>
      <c r="I170" s="28">
        <v>0</v>
      </c>
      <c r="J170" s="28">
        <v>35</v>
      </c>
    </row>
    <row r="171" spans="1:10" x14ac:dyDescent="0.35">
      <c r="A171" s="38" t="s">
        <v>326</v>
      </c>
      <c r="B171" s="38" t="s">
        <v>326</v>
      </c>
      <c r="C171" s="28"/>
      <c r="D171" s="28"/>
      <c r="E171" s="28">
        <v>50</v>
      </c>
      <c r="F171" s="28">
        <v>5</v>
      </c>
      <c r="G171" s="28">
        <f t="shared" si="1"/>
        <v>55</v>
      </c>
      <c r="H171" s="28">
        <v>10</v>
      </c>
      <c r="I171" s="28">
        <v>0</v>
      </c>
      <c r="J171" s="28">
        <v>10</v>
      </c>
    </row>
    <row r="172" spans="1:10" x14ac:dyDescent="0.35">
      <c r="A172" s="38" t="s">
        <v>327</v>
      </c>
      <c r="B172" s="38" t="s">
        <v>327</v>
      </c>
      <c r="C172" s="28"/>
      <c r="D172" s="28"/>
      <c r="E172" s="28">
        <v>35</v>
      </c>
      <c r="F172" s="28">
        <v>5</v>
      </c>
      <c r="G172" s="28">
        <f t="shared" si="1"/>
        <v>40</v>
      </c>
      <c r="H172" s="28">
        <v>10</v>
      </c>
      <c r="I172" s="28">
        <v>0</v>
      </c>
      <c r="J172" s="28">
        <v>9</v>
      </c>
    </row>
    <row r="173" spans="1:10" x14ac:dyDescent="0.35">
      <c r="A173" s="38" t="s">
        <v>328</v>
      </c>
      <c r="B173" s="38" t="s">
        <v>328</v>
      </c>
      <c r="C173" s="28"/>
      <c r="D173" s="28"/>
      <c r="E173" s="28">
        <v>33</v>
      </c>
      <c r="F173" s="28">
        <v>10</v>
      </c>
      <c r="G173" s="28">
        <f t="shared" si="1"/>
        <v>43</v>
      </c>
      <c r="H173" s="28">
        <v>14</v>
      </c>
      <c r="I173" s="28">
        <v>0</v>
      </c>
      <c r="J173" s="28">
        <v>14</v>
      </c>
    </row>
    <row r="174" spans="1:10" x14ac:dyDescent="0.35">
      <c r="A174" s="14"/>
      <c r="B174" s="14"/>
      <c r="C174" s="28"/>
      <c r="D174" s="28"/>
      <c r="E174" s="70">
        <f t="shared" ref="E174:J174" si="2">SUM(E165:E173)</f>
        <v>3242</v>
      </c>
      <c r="F174" s="70">
        <f t="shared" si="2"/>
        <v>230</v>
      </c>
      <c r="G174" s="70">
        <f t="shared" si="2"/>
        <v>3472</v>
      </c>
      <c r="H174" s="70">
        <f t="shared" si="2"/>
        <v>969</v>
      </c>
      <c r="I174" s="70">
        <f t="shared" si="2"/>
        <v>0</v>
      </c>
      <c r="J174" s="70">
        <f t="shared" si="2"/>
        <v>968</v>
      </c>
    </row>
    <row r="175" spans="1:10" x14ac:dyDescent="0.35">
      <c r="A175" s="14"/>
      <c r="B175" s="14"/>
      <c r="C175" s="28"/>
      <c r="D175" s="28"/>
      <c r="E175" s="28"/>
      <c r="F175" s="28"/>
      <c r="G175" s="28"/>
      <c r="H175" s="28"/>
      <c r="I175" s="28"/>
      <c r="J175" s="28"/>
    </row>
    <row r="176" spans="1:10" x14ac:dyDescent="0.35">
      <c r="A176" s="14"/>
      <c r="B176" s="14"/>
      <c r="C176" s="28"/>
      <c r="D176" s="28"/>
      <c r="E176" s="28"/>
      <c r="F176" s="28"/>
      <c r="G176" s="28"/>
      <c r="H176" s="28"/>
      <c r="I176" s="28"/>
      <c r="J176" s="28"/>
    </row>
    <row r="177" spans="1:14" x14ac:dyDescent="0.35">
      <c r="A177" s="14"/>
      <c r="B177" s="14"/>
      <c r="C177" s="28"/>
      <c r="D177" s="28"/>
      <c r="E177" s="28"/>
      <c r="F177" s="28"/>
      <c r="G177" s="28"/>
      <c r="H177" s="28"/>
      <c r="I177" s="28"/>
      <c r="J177" s="28"/>
    </row>
    <row r="178" spans="1:14" x14ac:dyDescent="0.35">
      <c r="N178" s="11"/>
    </row>
    <row r="179" spans="1:14" x14ac:dyDescent="0.35">
      <c r="A179" s="156" t="s">
        <v>102</v>
      </c>
      <c r="B179" s="156"/>
      <c r="C179" s="156"/>
      <c r="D179" s="156"/>
      <c r="N179" s="11"/>
    </row>
    <row r="180" spans="1:14" x14ac:dyDescent="0.35">
      <c r="A180" s="5" t="s">
        <v>68</v>
      </c>
      <c r="B180" s="5" t="s">
        <v>69</v>
      </c>
      <c r="C180" s="5" t="s">
        <v>70</v>
      </c>
      <c r="D180" s="5" t="s">
        <v>71</v>
      </c>
      <c r="N180" s="11"/>
    </row>
    <row r="181" spans="1:14" x14ac:dyDescent="0.35">
      <c r="A181" s="6" t="s">
        <v>178</v>
      </c>
      <c r="B181" s="13">
        <v>730</v>
      </c>
      <c r="C181" s="6" t="s">
        <v>264</v>
      </c>
      <c r="D181" s="6" t="s">
        <v>22</v>
      </c>
      <c r="N181" s="11"/>
    </row>
    <row r="182" spans="1:14" x14ac:dyDescent="0.35">
      <c r="A182" s="6" t="s">
        <v>178</v>
      </c>
      <c r="B182" s="13">
        <v>352</v>
      </c>
      <c r="C182" s="6" t="s">
        <v>284</v>
      </c>
      <c r="D182" s="6" t="s">
        <v>22</v>
      </c>
      <c r="N182" s="11"/>
    </row>
    <row r="183" spans="1:14" x14ac:dyDescent="0.35">
      <c r="A183" s="6" t="s">
        <v>178</v>
      </c>
      <c r="B183" s="13">
        <v>550</v>
      </c>
      <c r="C183" s="6" t="s">
        <v>119</v>
      </c>
      <c r="D183" s="6" t="s">
        <v>22</v>
      </c>
      <c r="N183" s="11"/>
    </row>
    <row r="184" spans="1:14" x14ac:dyDescent="0.35">
      <c r="A184" s="6"/>
      <c r="B184" s="6"/>
      <c r="C184" s="6"/>
      <c r="D184" s="6"/>
      <c r="N184" s="11"/>
    </row>
    <row r="186" spans="1:14" x14ac:dyDescent="0.35">
      <c r="A186" s="6"/>
      <c r="B186" s="6"/>
      <c r="C186" s="6"/>
      <c r="D186" s="6"/>
      <c r="E186" s="6"/>
    </row>
    <row r="187" spans="1:14" x14ac:dyDescent="0.35">
      <c r="A187" s="5" t="s">
        <v>51</v>
      </c>
      <c r="B187" s="5" t="s">
        <v>64</v>
      </c>
      <c r="C187" s="5" t="s">
        <v>65</v>
      </c>
      <c r="D187" s="5" t="s">
        <v>66</v>
      </c>
      <c r="E187" s="5" t="s">
        <v>67</v>
      </c>
    </row>
    <row r="188" spans="1:14" x14ac:dyDescent="0.35">
      <c r="A188" s="39" t="s">
        <v>324</v>
      </c>
      <c r="B188" s="39" t="s">
        <v>324</v>
      </c>
      <c r="C188" s="40" t="s">
        <v>329</v>
      </c>
      <c r="D188" s="28">
        <v>9880932522</v>
      </c>
      <c r="E188" s="28" t="s">
        <v>330</v>
      </c>
    </row>
    <row r="189" spans="1:14" x14ac:dyDescent="0.35">
      <c r="A189" s="39" t="s">
        <v>331</v>
      </c>
      <c r="B189" s="39" t="s">
        <v>331</v>
      </c>
      <c r="C189" s="40" t="s">
        <v>332</v>
      </c>
      <c r="D189" s="28">
        <v>9739695986</v>
      </c>
      <c r="E189" s="28" t="s">
        <v>333</v>
      </c>
    </row>
    <row r="190" spans="1:14" x14ac:dyDescent="0.35">
      <c r="A190" s="39" t="s">
        <v>229</v>
      </c>
      <c r="B190" s="39" t="s">
        <v>229</v>
      </c>
      <c r="C190" s="40" t="s">
        <v>248</v>
      </c>
      <c r="D190" s="28">
        <v>9663844334</v>
      </c>
      <c r="E190" s="28" t="s">
        <v>259</v>
      </c>
    </row>
    <row r="191" spans="1:14" x14ac:dyDescent="0.35">
      <c r="A191" s="39" t="s">
        <v>325</v>
      </c>
      <c r="B191" s="39" t="s">
        <v>325</v>
      </c>
      <c r="C191" s="40" t="s">
        <v>334</v>
      </c>
      <c r="D191" s="28">
        <v>9845999765</v>
      </c>
      <c r="E191" s="28" t="s">
        <v>333</v>
      </c>
    </row>
    <row r="192" spans="1:14" x14ac:dyDescent="0.35">
      <c r="A192" s="39" t="s">
        <v>335</v>
      </c>
      <c r="B192" s="39" t="s">
        <v>335</v>
      </c>
      <c r="C192" s="40" t="s">
        <v>336</v>
      </c>
      <c r="D192" s="28" t="s">
        <v>337</v>
      </c>
      <c r="E192" s="28" t="s">
        <v>330</v>
      </c>
    </row>
    <row r="193" spans="1:12" x14ac:dyDescent="0.35">
      <c r="A193" s="39" t="s">
        <v>338</v>
      </c>
      <c r="B193" s="39" t="s">
        <v>338</v>
      </c>
      <c r="C193" s="40" t="s">
        <v>339</v>
      </c>
      <c r="D193" s="28">
        <v>8884288828</v>
      </c>
      <c r="E193" s="28" t="s">
        <v>330</v>
      </c>
    </row>
    <row r="194" spans="1:12" x14ac:dyDescent="0.35">
      <c r="A194" s="39" t="s">
        <v>340</v>
      </c>
      <c r="B194" s="39" t="s">
        <v>340</v>
      </c>
      <c r="C194" s="40" t="s">
        <v>341</v>
      </c>
      <c r="D194" s="28">
        <v>9845017952</v>
      </c>
      <c r="E194" s="28" t="s">
        <v>333</v>
      </c>
    </row>
    <row r="195" spans="1:12" x14ac:dyDescent="0.35">
      <c r="A195" s="39" t="s">
        <v>328</v>
      </c>
      <c r="B195" s="39" t="s">
        <v>328</v>
      </c>
      <c r="C195" s="40" t="s">
        <v>342</v>
      </c>
      <c r="D195" s="28">
        <v>8547618548</v>
      </c>
      <c r="E195" s="28" t="s">
        <v>333</v>
      </c>
    </row>
    <row r="196" spans="1:12" x14ac:dyDescent="0.35">
      <c r="A196" s="39" t="s">
        <v>323</v>
      </c>
      <c r="B196" s="39" t="s">
        <v>323</v>
      </c>
      <c r="C196" s="40" t="s">
        <v>343</v>
      </c>
      <c r="D196" s="28">
        <v>9845346662</v>
      </c>
      <c r="E196" s="28" t="s">
        <v>330</v>
      </c>
    </row>
    <row r="199" spans="1:12" x14ac:dyDescent="0.35">
      <c r="A199" s="157" t="s">
        <v>99</v>
      </c>
      <c r="B199" s="158"/>
      <c r="C199" s="158"/>
      <c r="D199" s="158"/>
      <c r="E199" s="158"/>
      <c r="F199" s="158"/>
      <c r="G199" s="158"/>
      <c r="H199" s="158"/>
      <c r="I199" s="158"/>
      <c r="J199" s="158"/>
      <c r="K199" s="158"/>
      <c r="L199" s="159"/>
    </row>
    <row r="200" spans="1:12" x14ac:dyDescent="0.35">
      <c r="A200" s="160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2"/>
    </row>
    <row r="201" spans="1:12" x14ac:dyDescent="0.35">
      <c r="A201" s="5" t="s">
        <v>39</v>
      </c>
      <c r="B201" s="5" t="s">
        <v>40</v>
      </c>
      <c r="C201" s="5" t="s">
        <v>41</v>
      </c>
      <c r="D201" s="5" t="s">
        <v>42</v>
      </c>
      <c r="E201" s="5" t="s">
        <v>43</v>
      </c>
      <c r="F201" s="5" t="s">
        <v>44</v>
      </c>
      <c r="G201" s="5" t="s">
        <v>45</v>
      </c>
      <c r="H201" s="5" t="s">
        <v>46</v>
      </c>
      <c r="I201" s="5" t="s">
        <v>47</v>
      </c>
      <c r="J201" s="5" t="s">
        <v>48</v>
      </c>
      <c r="K201" s="5" t="s">
        <v>49</v>
      </c>
      <c r="L201" s="5" t="s">
        <v>50</v>
      </c>
    </row>
    <row r="202" spans="1:12" x14ac:dyDescent="0.35">
      <c r="A202" s="6" t="s">
        <v>115</v>
      </c>
      <c r="B202" s="6" t="s">
        <v>344</v>
      </c>
      <c r="C202" s="6" t="s">
        <v>345</v>
      </c>
      <c r="D202" s="7"/>
      <c r="E202" s="7" t="s">
        <v>179</v>
      </c>
      <c r="F202" s="6" t="s">
        <v>346</v>
      </c>
      <c r="G202" s="6" t="s">
        <v>116</v>
      </c>
      <c r="H202" s="6" t="s">
        <v>227</v>
      </c>
      <c r="I202" s="6" t="s">
        <v>228</v>
      </c>
      <c r="J202" s="6"/>
      <c r="K202" s="7" t="s">
        <v>347</v>
      </c>
      <c r="L202" s="6" t="s">
        <v>139</v>
      </c>
    </row>
    <row r="203" spans="1:12" x14ac:dyDescent="0.35">
      <c r="A203" s="6"/>
      <c r="B203" s="6"/>
      <c r="C203" s="6"/>
      <c r="D203" s="7"/>
      <c r="E203" s="7" t="s">
        <v>180</v>
      </c>
      <c r="F203" s="6"/>
      <c r="G203" s="6"/>
      <c r="H203" s="6"/>
      <c r="I203" s="6"/>
      <c r="J203" s="6"/>
      <c r="K203" s="7"/>
      <c r="L203" s="6"/>
    </row>
    <row r="204" spans="1:12" x14ac:dyDescent="0.35">
      <c r="A204" s="6"/>
      <c r="B204" s="6"/>
      <c r="C204" s="6"/>
      <c r="D204" s="7"/>
      <c r="E204" s="7" t="s">
        <v>181</v>
      </c>
      <c r="F204" s="6"/>
      <c r="G204" s="6"/>
      <c r="H204" s="6"/>
      <c r="I204" s="6"/>
      <c r="J204" s="6"/>
      <c r="K204" s="7"/>
      <c r="L204" s="6"/>
    </row>
    <row r="225" spans="3:3" x14ac:dyDescent="0.35">
      <c r="C225" s="8" t="s">
        <v>141</v>
      </c>
    </row>
    <row r="226" spans="3:3" x14ac:dyDescent="0.35">
      <c r="C226" s="8" t="s">
        <v>142</v>
      </c>
    </row>
    <row r="227" spans="3:3" x14ac:dyDescent="0.35">
      <c r="C227" s="8" t="s">
        <v>143</v>
      </c>
    </row>
    <row r="228" spans="3:3" x14ac:dyDescent="0.35">
      <c r="C228" s="8" t="s">
        <v>144</v>
      </c>
    </row>
    <row r="229" spans="3:3" x14ac:dyDescent="0.35">
      <c r="C229" s="8" t="s">
        <v>145</v>
      </c>
    </row>
    <row r="230" spans="3:3" x14ac:dyDescent="0.35">
      <c r="C230" s="8" t="s">
        <v>146</v>
      </c>
    </row>
    <row r="231" spans="3:3" x14ac:dyDescent="0.35">
      <c r="C231" s="8" t="s">
        <v>147</v>
      </c>
    </row>
    <row r="232" spans="3:3" x14ac:dyDescent="0.35">
      <c r="C232" s="8" t="s">
        <v>148</v>
      </c>
    </row>
    <row r="233" spans="3:3" x14ac:dyDescent="0.35">
      <c r="C233" s="8" t="s">
        <v>149</v>
      </c>
    </row>
    <row r="234" spans="3:3" x14ac:dyDescent="0.35">
      <c r="C234" s="8" t="s">
        <v>150</v>
      </c>
    </row>
    <row r="235" spans="3:3" x14ac:dyDescent="0.35">
      <c r="C235" s="8" t="s">
        <v>151</v>
      </c>
    </row>
    <row r="236" spans="3:3" x14ac:dyDescent="0.35">
      <c r="C236" s="8" t="s">
        <v>152</v>
      </c>
    </row>
    <row r="237" spans="3:3" x14ac:dyDescent="0.35">
      <c r="C237" s="8" t="s">
        <v>153</v>
      </c>
    </row>
    <row r="238" spans="3:3" x14ac:dyDescent="0.35">
      <c r="C238" s="8" t="s">
        <v>154</v>
      </c>
    </row>
    <row r="239" spans="3:3" x14ac:dyDescent="0.35">
      <c r="C239" s="8" t="s">
        <v>155</v>
      </c>
    </row>
    <row r="240" spans="3:3" x14ac:dyDescent="0.35">
      <c r="C240" s="8" t="s">
        <v>156</v>
      </c>
    </row>
  </sheetData>
  <mergeCells count="17">
    <mergeCell ref="A161:F161"/>
    <mergeCell ref="A163:J163"/>
    <mergeCell ref="A179:D179"/>
    <mergeCell ref="A199:L200"/>
    <mergeCell ref="A105:D105"/>
    <mergeCell ref="A111:D111"/>
    <mergeCell ref="A125:F125"/>
    <mergeCell ref="H128:K128"/>
    <mergeCell ref="J129:J130"/>
    <mergeCell ref="K129:K130"/>
    <mergeCell ref="H130:I130"/>
    <mergeCell ref="A74:D74"/>
    <mergeCell ref="A1:L2"/>
    <mergeCell ref="A13:E13"/>
    <mergeCell ref="A58:L58"/>
    <mergeCell ref="A62:B62"/>
    <mergeCell ref="A68:B68"/>
  </mergeCells>
  <hyperlinks>
    <hyperlink ref="C188" r:id="rId1" display="mailto:prateekseth@google.com" xr:uid="{00000000-0004-0000-01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3:R42"/>
  <sheetViews>
    <sheetView workbookViewId="0">
      <selection activeCell="I8" sqref="I8"/>
    </sheetView>
  </sheetViews>
  <sheetFormatPr defaultRowHeight="14.5" x14ac:dyDescent="0.35"/>
  <cols>
    <col min="3" max="3" width="5.7265625" bestFit="1" customWidth="1"/>
    <col min="4" max="4" width="17.453125" bestFit="1" customWidth="1"/>
    <col min="10" max="10" width="14.26953125" bestFit="1" customWidth="1"/>
    <col min="11" max="11" width="12.7265625" bestFit="1" customWidth="1"/>
  </cols>
  <sheetData>
    <row r="3" spans="2:18" ht="15" thickBot="1" x14ac:dyDescent="0.4"/>
    <row r="4" spans="2:18" x14ac:dyDescent="0.35">
      <c r="B4" s="74"/>
      <c r="C4" s="75"/>
      <c r="D4" s="75"/>
      <c r="E4" s="75"/>
      <c r="F4" s="173" t="s">
        <v>706</v>
      </c>
      <c r="G4" s="173"/>
      <c r="H4" s="173"/>
      <c r="I4" s="174" t="s">
        <v>707</v>
      </c>
      <c r="J4" s="174"/>
      <c r="K4" s="174"/>
      <c r="L4" s="174"/>
      <c r="M4" s="174"/>
      <c r="N4" s="174"/>
      <c r="O4" s="174"/>
      <c r="P4" s="174"/>
      <c r="Q4" s="174"/>
      <c r="R4" s="175"/>
    </row>
    <row r="5" spans="2:18" ht="58" x14ac:dyDescent="0.35">
      <c r="B5" s="76" t="s">
        <v>10</v>
      </c>
      <c r="C5" s="77" t="s">
        <v>708</v>
      </c>
      <c r="D5" s="77" t="s">
        <v>51</v>
      </c>
      <c r="E5" s="77" t="s">
        <v>22</v>
      </c>
      <c r="F5" s="78" t="s">
        <v>61</v>
      </c>
      <c r="G5" s="78" t="s">
        <v>62</v>
      </c>
      <c r="H5" s="78" t="s">
        <v>63</v>
      </c>
      <c r="I5" s="79" t="s">
        <v>709</v>
      </c>
      <c r="J5" s="80" t="s">
        <v>710</v>
      </c>
      <c r="K5" s="80" t="s">
        <v>711</v>
      </c>
      <c r="L5" s="80" t="s">
        <v>712</v>
      </c>
      <c r="M5" s="80" t="s">
        <v>713</v>
      </c>
      <c r="N5" s="80" t="s">
        <v>714</v>
      </c>
      <c r="O5" s="80" t="s">
        <v>715</v>
      </c>
      <c r="P5" s="80" t="s">
        <v>716</v>
      </c>
      <c r="Q5" s="80" t="s">
        <v>717</v>
      </c>
      <c r="R5" s="81" t="s">
        <v>718</v>
      </c>
    </row>
    <row r="6" spans="2:18" x14ac:dyDescent="0.35">
      <c r="B6" s="82" t="s">
        <v>271</v>
      </c>
      <c r="C6" s="62" t="s">
        <v>719</v>
      </c>
      <c r="D6" s="83" t="s">
        <v>324</v>
      </c>
      <c r="E6" s="84" t="s">
        <v>720</v>
      </c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85"/>
    </row>
    <row r="7" spans="2:18" x14ac:dyDescent="0.35">
      <c r="B7" s="82" t="s">
        <v>271</v>
      </c>
      <c r="C7" s="62" t="s">
        <v>719</v>
      </c>
      <c r="D7" s="83" t="s">
        <v>721</v>
      </c>
      <c r="E7" s="84" t="s">
        <v>722</v>
      </c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85"/>
    </row>
    <row r="8" spans="2:18" x14ac:dyDescent="0.35">
      <c r="B8" s="82" t="s">
        <v>271</v>
      </c>
      <c r="C8" s="62" t="s">
        <v>719</v>
      </c>
      <c r="D8" s="83" t="s">
        <v>721</v>
      </c>
      <c r="E8" s="84" t="s">
        <v>723</v>
      </c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85"/>
    </row>
    <row r="9" spans="2:18" x14ac:dyDescent="0.35">
      <c r="B9" s="82" t="s">
        <v>271</v>
      </c>
      <c r="C9" s="62" t="s">
        <v>719</v>
      </c>
      <c r="D9" s="83" t="s">
        <v>724</v>
      </c>
      <c r="E9" s="84" t="s">
        <v>725</v>
      </c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85"/>
    </row>
    <row r="10" spans="2:18" x14ac:dyDescent="0.35">
      <c r="B10" s="82" t="s">
        <v>271</v>
      </c>
      <c r="C10" s="62" t="s">
        <v>719</v>
      </c>
      <c r="D10" s="83" t="s">
        <v>721</v>
      </c>
      <c r="E10" s="84" t="s">
        <v>726</v>
      </c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85"/>
    </row>
    <row r="11" spans="2:18" x14ac:dyDescent="0.35">
      <c r="B11" s="82" t="s">
        <v>271</v>
      </c>
      <c r="C11" s="62" t="s">
        <v>719</v>
      </c>
      <c r="D11" s="83" t="s">
        <v>724</v>
      </c>
      <c r="E11" s="84" t="s">
        <v>727</v>
      </c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85"/>
    </row>
    <row r="12" spans="2:18" x14ac:dyDescent="0.35">
      <c r="B12" s="82" t="s">
        <v>271</v>
      </c>
      <c r="C12" s="62" t="s">
        <v>719</v>
      </c>
      <c r="D12" s="83" t="s">
        <v>728</v>
      </c>
      <c r="E12" s="84" t="s">
        <v>729</v>
      </c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85"/>
    </row>
    <row r="13" spans="2:18" x14ac:dyDescent="0.35">
      <c r="B13" s="82" t="s">
        <v>271</v>
      </c>
      <c r="C13" s="62" t="s">
        <v>719</v>
      </c>
      <c r="D13" s="83" t="s">
        <v>721</v>
      </c>
      <c r="E13" s="84" t="s">
        <v>730</v>
      </c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85"/>
    </row>
    <row r="14" spans="2:18" x14ac:dyDescent="0.35">
      <c r="B14" s="82" t="s">
        <v>271</v>
      </c>
      <c r="C14" s="62" t="s">
        <v>731</v>
      </c>
      <c r="D14" s="83" t="s">
        <v>732</v>
      </c>
      <c r="E14" s="84" t="s">
        <v>720</v>
      </c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85"/>
    </row>
    <row r="15" spans="2:18" x14ac:dyDescent="0.35">
      <c r="B15" s="82" t="s">
        <v>271</v>
      </c>
      <c r="C15" s="62" t="s">
        <v>731</v>
      </c>
      <c r="D15" s="83" t="s">
        <v>229</v>
      </c>
      <c r="E15" s="84" t="s">
        <v>720</v>
      </c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85"/>
    </row>
    <row r="16" spans="2:18" x14ac:dyDescent="0.35">
      <c r="B16" s="82" t="s">
        <v>271</v>
      </c>
      <c r="C16" s="62" t="s">
        <v>731</v>
      </c>
      <c r="D16" s="62" t="s">
        <v>335</v>
      </c>
      <c r="E16" s="84" t="s">
        <v>720</v>
      </c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85"/>
    </row>
    <row r="17" spans="2:18" x14ac:dyDescent="0.35">
      <c r="B17" s="82" t="s">
        <v>271</v>
      </c>
      <c r="C17" s="62" t="s">
        <v>731</v>
      </c>
      <c r="D17" s="83" t="s">
        <v>328</v>
      </c>
      <c r="E17" s="84" t="s">
        <v>720</v>
      </c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85"/>
    </row>
    <row r="18" spans="2:18" x14ac:dyDescent="0.35">
      <c r="B18" s="82" t="s">
        <v>271</v>
      </c>
      <c r="C18" s="62" t="s">
        <v>731</v>
      </c>
      <c r="D18" s="83" t="s">
        <v>328</v>
      </c>
      <c r="E18" s="84" t="s">
        <v>722</v>
      </c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85"/>
    </row>
    <row r="19" spans="2:18" x14ac:dyDescent="0.35">
      <c r="B19" s="82" t="s">
        <v>271</v>
      </c>
      <c r="C19" s="62" t="s">
        <v>731</v>
      </c>
      <c r="D19" s="83" t="s">
        <v>732</v>
      </c>
      <c r="E19" s="84" t="s">
        <v>722</v>
      </c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85"/>
    </row>
    <row r="20" spans="2:18" x14ac:dyDescent="0.35">
      <c r="B20" s="82" t="s">
        <v>271</v>
      </c>
      <c r="C20" s="62" t="s">
        <v>731</v>
      </c>
      <c r="D20" s="83" t="s">
        <v>728</v>
      </c>
      <c r="E20" s="84" t="s">
        <v>722</v>
      </c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85"/>
    </row>
    <row r="21" spans="2:18" x14ac:dyDescent="0.35">
      <c r="B21" s="82" t="s">
        <v>271</v>
      </c>
      <c r="C21" s="62" t="s">
        <v>731</v>
      </c>
      <c r="D21" s="83" t="s">
        <v>724</v>
      </c>
      <c r="E21" s="84" t="s">
        <v>723</v>
      </c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85"/>
    </row>
    <row r="22" spans="2:18" x14ac:dyDescent="0.35">
      <c r="B22" s="82" t="s">
        <v>271</v>
      </c>
      <c r="C22" s="62" t="s">
        <v>731</v>
      </c>
      <c r="D22" s="83" t="s">
        <v>323</v>
      </c>
      <c r="E22" s="84" t="s">
        <v>725</v>
      </c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85"/>
    </row>
    <row r="23" spans="2:18" x14ac:dyDescent="0.35">
      <c r="B23" s="82" t="s">
        <v>271</v>
      </c>
      <c r="C23" s="62" t="s">
        <v>731</v>
      </c>
      <c r="D23" s="83" t="s">
        <v>582</v>
      </c>
      <c r="E23" s="84" t="s">
        <v>726</v>
      </c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85"/>
    </row>
    <row r="24" spans="2:18" x14ac:dyDescent="0.35">
      <c r="B24" s="82" t="s">
        <v>271</v>
      </c>
      <c r="C24" s="62" t="s">
        <v>731</v>
      </c>
      <c r="D24" s="83" t="s">
        <v>323</v>
      </c>
      <c r="E24" s="84" t="s">
        <v>727</v>
      </c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85"/>
    </row>
    <row r="25" spans="2:18" x14ac:dyDescent="0.35">
      <c r="B25" s="82" t="s">
        <v>271</v>
      </c>
      <c r="C25" s="62" t="s">
        <v>731</v>
      </c>
      <c r="D25" s="83" t="s">
        <v>322</v>
      </c>
      <c r="E25" s="84" t="s">
        <v>729</v>
      </c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85"/>
    </row>
    <row r="26" spans="2:18" x14ac:dyDescent="0.35">
      <c r="B26" s="82" t="s">
        <v>271</v>
      </c>
      <c r="C26" s="62" t="s">
        <v>731</v>
      </c>
      <c r="D26" s="83" t="s">
        <v>322</v>
      </c>
      <c r="E26" s="84" t="s">
        <v>730</v>
      </c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85"/>
    </row>
    <row r="27" spans="2:18" x14ac:dyDescent="0.35">
      <c r="B27" s="82" t="s">
        <v>271</v>
      </c>
      <c r="C27" s="62" t="s">
        <v>733</v>
      </c>
      <c r="D27" s="62" t="s">
        <v>325</v>
      </c>
      <c r="E27" s="84" t="s">
        <v>720</v>
      </c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85"/>
    </row>
    <row r="28" spans="2:18" x14ac:dyDescent="0.35">
      <c r="B28" s="82" t="s">
        <v>271</v>
      </c>
      <c r="C28" s="62" t="s">
        <v>733</v>
      </c>
      <c r="D28" s="83" t="s">
        <v>728</v>
      </c>
      <c r="E28" s="84" t="s">
        <v>722</v>
      </c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85"/>
    </row>
    <row r="29" spans="2:18" x14ac:dyDescent="0.35">
      <c r="B29" s="82" t="s">
        <v>271</v>
      </c>
      <c r="C29" s="62" t="s">
        <v>733</v>
      </c>
      <c r="D29" s="83" t="s">
        <v>728</v>
      </c>
      <c r="E29" s="84" t="s">
        <v>723</v>
      </c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85"/>
    </row>
    <row r="30" spans="2:18" x14ac:dyDescent="0.35">
      <c r="B30" s="82" t="s">
        <v>271</v>
      </c>
      <c r="C30" s="62" t="s">
        <v>733</v>
      </c>
      <c r="D30" s="83" t="s">
        <v>728</v>
      </c>
      <c r="E30" s="84" t="s">
        <v>725</v>
      </c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85"/>
    </row>
    <row r="31" spans="2:18" x14ac:dyDescent="0.35">
      <c r="B31" s="82" t="s">
        <v>271</v>
      </c>
      <c r="C31" s="62" t="s">
        <v>733</v>
      </c>
      <c r="D31" s="83" t="s">
        <v>728</v>
      </c>
      <c r="E31" s="84" t="s">
        <v>726</v>
      </c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85"/>
    </row>
    <row r="32" spans="2:18" x14ac:dyDescent="0.35">
      <c r="B32" s="82" t="s">
        <v>271</v>
      </c>
      <c r="C32" s="62" t="s">
        <v>733</v>
      </c>
      <c r="D32" s="83" t="s">
        <v>728</v>
      </c>
      <c r="E32" s="84" t="s">
        <v>727</v>
      </c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85"/>
    </row>
    <row r="33" spans="2:18" x14ac:dyDescent="0.35">
      <c r="B33" s="82" t="s">
        <v>271</v>
      </c>
      <c r="C33" s="62" t="s">
        <v>733</v>
      </c>
      <c r="D33" s="83" t="s">
        <v>728</v>
      </c>
      <c r="E33" s="84" t="s">
        <v>729</v>
      </c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85"/>
    </row>
    <row r="34" spans="2:18" x14ac:dyDescent="0.35">
      <c r="B34" s="82" t="s">
        <v>271</v>
      </c>
      <c r="C34" s="62" t="s">
        <v>733</v>
      </c>
      <c r="D34" s="83" t="s">
        <v>728</v>
      </c>
      <c r="E34" s="84" t="s">
        <v>730</v>
      </c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85"/>
    </row>
    <row r="35" spans="2:18" x14ac:dyDescent="0.35">
      <c r="B35" s="82" t="s">
        <v>271</v>
      </c>
      <c r="C35" s="62" t="s">
        <v>734</v>
      </c>
      <c r="D35" s="83" t="s">
        <v>721</v>
      </c>
      <c r="E35" s="84" t="s">
        <v>720</v>
      </c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85"/>
    </row>
    <row r="36" spans="2:18" x14ac:dyDescent="0.35">
      <c r="B36" s="82" t="s">
        <v>271</v>
      </c>
      <c r="C36" s="62" t="s">
        <v>734</v>
      </c>
      <c r="D36" s="83" t="s">
        <v>721</v>
      </c>
      <c r="E36" s="84" t="s">
        <v>722</v>
      </c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85"/>
    </row>
    <row r="37" spans="2:18" x14ac:dyDescent="0.35">
      <c r="B37" s="82" t="s">
        <v>271</v>
      </c>
      <c r="C37" s="62" t="s">
        <v>734</v>
      </c>
      <c r="D37" s="83" t="s">
        <v>721</v>
      </c>
      <c r="E37" s="84" t="s">
        <v>723</v>
      </c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85"/>
    </row>
    <row r="38" spans="2:18" x14ac:dyDescent="0.35">
      <c r="B38" s="82" t="s">
        <v>271</v>
      </c>
      <c r="C38" s="62" t="s">
        <v>734</v>
      </c>
      <c r="D38" s="83" t="s">
        <v>721</v>
      </c>
      <c r="E38" s="84" t="s">
        <v>725</v>
      </c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85"/>
    </row>
    <row r="39" spans="2:18" x14ac:dyDescent="0.35">
      <c r="B39" s="82" t="s">
        <v>271</v>
      </c>
      <c r="C39" s="62" t="s">
        <v>734</v>
      </c>
      <c r="D39" s="83" t="s">
        <v>721</v>
      </c>
      <c r="E39" s="84" t="s">
        <v>726</v>
      </c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85"/>
    </row>
    <row r="40" spans="2:18" x14ac:dyDescent="0.35">
      <c r="B40" s="82" t="s">
        <v>271</v>
      </c>
      <c r="C40" s="62" t="s">
        <v>734</v>
      </c>
      <c r="D40" s="83" t="s">
        <v>721</v>
      </c>
      <c r="E40" s="84" t="s">
        <v>727</v>
      </c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85"/>
    </row>
    <row r="41" spans="2:18" x14ac:dyDescent="0.35">
      <c r="B41" s="82" t="s">
        <v>271</v>
      </c>
      <c r="C41" s="62" t="s">
        <v>734</v>
      </c>
      <c r="D41" s="83" t="s">
        <v>721</v>
      </c>
      <c r="E41" s="84" t="s">
        <v>729</v>
      </c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85"/>
    </row>
    <row r="42" spans="2:18" ht="15" thickBot="1" x14ac:dyDescent="0.4">
      <c r="B42" s="86" t="s">
        <v>271</v>
      </c>
      <c r="C42" s="87" t="s">
        <v>734</v>
      </c>
      <c r="D42" s="88" t="s">
        <v>721</v>
      </c>
      <c r="E42" s="89" t="s">
        <v>730</v>
      </c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90"/>
    </row>
  </sheetData>
  <mergeCells count="2">
    <mergeCell ref="F4:H4"/>
    <mergeCell ref="I4:R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N199"/>
  <sheetViews>
    <sheetView topLeftCell="E1" zoomScaleNormal="100" workbookViewId="0">
      <selection activeCell="E86" sqref="E86"/>
    </sheetView>
  </sheetViews>
  <sheetFormatPr defaultColWidth="24.1796875" defaultRowHeight="14.5" x14ac:dyDescent="0.35"/>
  <cols>
    <col min="1" max="1" width="31" style="8" customWidth="1"/>
    <col min="2" max="2" width="24.1796875" style="8"/>
    <col min="3" max="3" width="27.26953125" style="8" customWidth="1"/>
    <col min="4" max="4" width="40" style="8" customWidth="1"/>
    <col min="5" max="5" width="20.54296875" style="8" bestFit="1" customWidth="1"/>
    <col min="6" max="6" width="24.81640625" style="8" bestFit="1" customWidth="1"/>
    <col min="7" max="7" width="18.54296875" style="8" bestFit="1" customWidth="1"/>
    <col min="8" max="8" width="28.453125" style="8" bestFit="1" customWidth="1"/>
    <col min="9" max="9" width="24.1796875" style="8"/>
    <col min="10" max="10" width="22.26953125" style="8" bestFit="1" customWidth="1"/>
    <col min="11" max="16384" width="24.1796875" style="8"/>
  </cols>
  <sheetData>
    <row r="1" spans="1:12" s="4" customFormat="1" x14ac:dyDescent="0.35">
      <c r="A1" s="156" t="s">
        <v>87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</row>
    <row r="2" spans="1:12" s="4" customFormat="1" x14ac:dyDescent="0.35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</row>
    <row r="3" spans="1:12" s="4" customFormat="1" x14ac:dyDescent="0.35">
      <c r="A3" s="5" t="s">
        <v>86</v>
      </c>
      <c r="B3" s="5" t="s">
        <v>1</v>
      </c>
      <c r="C3" s="5" t="s">
        <v>0</v>
      </c>
      <c r="D3" s="5" t="s">
        <v>107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</row>
    <row r="4" spans="1:12" ht="29" x14ac:dyDescent="0.35">
      <c r="A4" s="18">
        <v>1</v>
      </c>
      <c r="B4" s="18" t="s">
        <v>182</v>
      </c>
      <c r="C4" s="18" t="s">
        <v>88</v>
      </c>
      <c r="D4" s="19" t="s">
        <v>183</v>
      </c>
      <c r="E4" s="18" t="s">
        <v>88</v>
      </c>
      <c r="F4" s="18" t="s">
        <v>110</v>
      </c>
      <c r="G4" s="18" t="s">
        <v>186</v>
      </c>
      <c r="H4" s="3" t="s">
        <v>184</v>
      </c>
      <c r="I4" s="18" t="s">
        <v>89</v>
      </c>
      <c r="J4" s="3" t="s">
        <v>90</v>
      </c>
      <c r="K4" s="18" t="s">
        <v>185</v>
      </c>
      <c r="L4" s="20">
        <v>1</v>
      </c>
    </row>
    <row r="5" spans="1:12" x14ac:dyDescent="0.3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x14ac:dyDescent="0.35">
      <c r="G6" s="21"/>
      <c r="H6" s="21"/>
      <c r="I6" s="21"/>
      <c r="J6" s="21"/>
      <c r="K6" s="21"/>
      <c r="L6" s="21"/>
    </row>
    <row r="8" spans="1:12" ht="29" x14ac:dyDescent="0.35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  <c r="I8" s="5" t="s">
        <v>18</v>
      </c>
      <c r="J8" s="5" t="s">
        <v>19</v>
      </c>
      <c r="K8" s="5" t="s">
        <v>20</v>
      </c>
    </row>
    <row r="9" spans="1:12" x14ac:dyDescent="0.35">
      <c r="A9" s="6" t="s">
        <v>182</v>
      </c>
      <c r="B9" s="6" t="s">
        <v>91</v>
      </c>
      <c r="C9" s="6" t="s">
        <v>187</v>
      </c>
      <c r="D9" s="7" t="s">
        <v>270</v>
      </c>
      <c r="E9" s="7" t="s">
        <v>189</v>
      </c>
      <c r="F9" s="7" t="s">
        <v>190</v>
      </c>
      <c r="G9" s="7" t="s">
        <v>188</v>
      </c>
      <c r="H9" s="37">
        <v>2006</v>
      </c>
      <c r="I9" s="37">
        <v>2009</v>
      </c>
      <c r="J9" s="37">
        <v>2009</v>
      </c>
      <c r="K9" s="37">
        <v>2009</v>
      </c>
    </row>
    <row r="10" spans="1:12" x14ac:dyDescent="0.35">
      <c r="D10" s="8">
        <v>685148.73140000005</v>
      </c>
    </row>
    <row r="11" spans="1:12" x14ac:dyDescent="0.35">
      <c r="D11" s="8" t="s">
        <v>695</v>
      </c>
    </row>
    <row r="13" spans="1:12" x14ac:dyDescent="0.35">
      <c r="A13" s="156" t="s">
        <v>93</v>
      </c>
      <c r="B13" s="156"/>
      <c r="C13" s="156"/>
      <c r="D13" s="156"/>
      <c r="E13" s="156"/>
    </row>
    <row r="14" spans="1:12" x14ac:dyDescent="0.35">
      <c r="A14" s="5" t="s">
        <v>10</v>
      </c>
      <c r="B14" s="5" t="s">
        <v>21</v>
      </c>
      <c r="C14" s="5" t="s">
        <v>22</v>
      </c>
      <c r="D14" s="5" t="s">
        <v>23</v>
      </c>
      <c r="E14" s="5" t="s">
        <v>24</v>
      </c>
      <c r="G14" s="30" t="s">
        <v>177</v>
      </c>
    </row>
    <row r="15" spans="1:12" x14ac:dyDescent="0.35">
      <c r="A15" s="2" t="s">
        <v>120</v>
      </c>
      <c r="B15" s="2" t="s">
        <v>94</v>
      </c>
      <c r="C15" s="2" t="s">
        <v>191</v>
      </c>
      <c r="D15" s="69">
        <v>33431</v>
      </c>
      <c r="E15" s="3"/>
      <c r="F15" s="9"/>
      <c r="G15" s="2" t="s">
        <v>266</v>
      </c>
    </row>
    <row r="16" spans="1:12" x14ac:dyDescent="0.35">
      <c r="A16" s="2" t="s">
        <v>120</v>
      </c>
      <c r="B16" s="2" t="s">
        <v>94</v>
      </c>
      <c r="C16" s="2" t="s">
        <v>192</v>
      </c>
      <c r="D16" s="69">
        <v>33019</v>
      </c>
      <c r="E16" s="3"/>
      <c r="F16" s="9"/>
      <c r="G16" s="2" t="s">
        <v>267</v>
      </c>
    </row>
    <row r="17" spans="1:7" x14ac:dyDescent="0.35">
      <c r="A17" s="2" t="s">
        <v>120</v>
      </c>
      <c r="B17" s="2" t="s">
        <v>94</v>
      </c>
      <c r="C17" s="2" t="s">
        <v>193</v>
      </c>
      <c r="D17" s="69">
        <v>37149</v>
      </c>
      <c r="E17" s="3"/>
      <c r="F17" s="9"/>
      <c r="G17" s="2" t="s">
        <v>267</v>
      </c>
    </row>
    <row r="18" spans="1:7" x14ac:dyDescent="0.35">
      <c r="A18" s="2" t="s">
        <v>120</v>
      </c>
      <c r="B18" s="2" t="s">
        <v>94</v>
      </c>
      <c r="C18" s="2" t="s">
        <v>194</v>
      </c>
      <c r="D18" s="69">
        <v>36049</v>
      </c>
      <c r="E18" s="3"/>
      <c r="F18" s="9"/>
      <c r="G18" s="2" t="s">
        <v>267</v>
      </c>
    </row>
    <row r="19" spans="1:7" x14ac:dyDescent="0.35">
      <c r="A19" s="2" t="s">
        <v>120</v>
      </c>
      <c r="B19" s="2" t="s">
        <v>94</v>
      </c>
      <c r="C19" s="2" t="s">
        <v>195</v>
      </c>
      <c r="D19" s="69">
        <v>36058</v>
      </c>
      <c r="E19" s="3"/>
      <c r="F19" s="9"/>
      <c r="G19" s="2" t="s">
        <v>268</v>
      </c>
    </row>
    <row r="20" spans="1:7" x14ac:dyDescent="0.35">
      <c r="A20" s="2" t="s">
        <v>120</v>
      </c>
      <c r="B20" s="2" t="s">
        <v>94</v>
      </c>
      <c r="C20" s="2" t="s">
        <v>196</v>
      </c>
      <c r="D20" s="69">
        <v>36014</v>
      </c>
      <c r="E20" s="3"/>
      <c r="F20" s="9"/>
      <c r="G20" s="2" t="s">
        <v>267</v>
      </c>
    </row>
    <row r="21" spans="1:7" x14ac:dyDescent="0.35">
      <c r="A21" s="2" t="s">
        <v>120</v>
      </c>
      <c r="B21" s="2" t="s">
        <v>94</v>
      </c>
      <c r="C21" s="2" t="s">
        <v>197</v>
      </c>
      <c r="D21" s="69">
        <v>36688</v>
      </c>
      <c r="E21" s="3"/>
      <c r="F21" s="9"/>
      <c r="G21" s="2" t="s">
        <v>268</v>
      </c>
    </row>
    <row r="22" spans="1:7" x14ac:dyDescent="0.35">
      <c r="A22" s="2" t="s">
        <v>120</v>
      </c>
      <c r="B22" s="2" t="s">
        <v>94</v>
      </c>
      <c r="C22" s="2" t="s">
        <v>198</v>
      </c>
      <c r="D22" s="69">
        <v>35874</v>
      </c>
      <c r="E22" s="3"/>
      <c r="F22" s="9"/>
      <c r="G22" s="2" t="s">
        <v>268</v>
      </c>
    </row>
    <row r="23" spans="1:7" x14ac:dyDescent="0.35">
      <c r="A23" s="2" t="s">
        <v>120</v>
      </c>
      <c r="B23" s="2" t="s">
        <v>94</v>
      </c>
      <c r="C23" s="2" t="s">
        <v>199</v>
      </c>
      <c r="D23" s="69">
        <v>33431</v>
      </c>
      <c r="E23" s="3"/>
      <c r="F23" s="9"/>
      <c r="G23" s="2" t="s">
        <v>267</v>
      </c>
    </row>
    <row r="24" spans="1:7" x14ac:dyDescent="0.35">
      <c r="A24" s="2" t="s">
        <v>120</v>
      </c>
      <c r="B24" s="2" t="s">
        <v>94</v>
      </c>
      <c r="C24" s="2" t="s">
        <v>200</v>
      </c>
      <c r="D24" s="69">
        <v>33295</v>
      </c>
      <c r="E24" s="3"/>
      <c r="F24" s="9"/>
      <c r="G24" s="2"/>
    </row>
    <row r="25" spans="1:7" x14ac:dyDescent="0.35">
      <c r="A25" s="2" t="s">
        <v>120</v>
      </c>
      <c r="B25" s="2" t="s">
        <v>94</v>
      </c>
      <c r="C25" s="2" t="s">
        <v>201</v>
      </c>
      <c r="D25" s="69">
        <v>36055</v>
      </c>
      <c r="E25" s="3"/>
      <c r="F25" s="9"/>
      <c r="G25" s="2"/>
    </row>
    <row r="26" spans="1:7" x14ac:dyDescent="0.35">
      <c r="A26" s="2" t="s">
        <v>120</v>
      </c>
      <c r="B26" s="2" t="s">
        <v>94</v>
      </c>
      <c r="C26" s="2" t="s">
        <v>202</v>
      </c>
      <c r="D26" s="69">
        <v>36314</v>
      </c>
      <c r="E26" s="3"/>
      <c r="F26" s="9"/>
      <c r="G26" s="2"/>
    </row>
    <row r="27" spans="1:7" x14ac:dyDescent="0.35">
      <c r="A27" s="2" t="s">
        <v>120</v>
      </c>
      <c r="B27" s="2" t="s">
        <v>94</v>
      </c>
      <c r="C27" s="2" t="s">
        <v>203</v>
      </c>
      <c r="D27" s="69">
        <v>36055</v>
      </c>
      <c r="E27" s="3"/>
      <c r="F27" s="9"/>
      <c r="G27" s="2"/>
    </row>
    <row r="28" spans="1:7" x14ac:dyDescent="0.35">
      <c r="A28" s="2" t="s">
        <v>120</v>
      </c>
      <c r="B28" s="2" t="s">
        <v>94</v>
      </c>
      <c r="C28" s="2" t="s">
        <v>204</v>
      </c>
      <c r="D28" s="69">
        <v>35874</v>
      </c>
      <c r="E28" s="3"/>
      <c r="F28" s="9"/>
      <c r="G28" s="2"/>
    </row>
    <row r="29" spans="1:7" x14ac:dyDescent="0.35">
      <c r="A29" s="2" t="s">
        <v>120</v>
      </c>
      <c r="B29" s="2" t="s">
        <v>94</v>
      </c>
      <c r="C29" s="2" t="s">
        <v>205</v>
      </c>
      <c r="D29" s="69">
        <v>36281</v>
      </c>
      <c r="E29" s="3"/>
      <c r="F29" s="9"/>
      <c r="G29" s="2"/>
    </row>
    <row r="30" spans="1:7" x14ac:dyDescent="0.35">
      <c r="A30" s="2" t="s">
        <v>120</v>
      </c>
      <c r="B30" s="2" t="s">
        <v>94</v>
      </c>
      <c r="C30" s="2" t="s">
        <v>206</v>
      </c>
      <c r="D30" s="69">
        <v>36281</v>
      </c>
      <c r="E30" s="3"/>
      <c r="F30" s="9"/>
      <c r="G30" s="2"/>
    </row>
    <row r="31" spans="1:7" x14ac:dyDescent="0.35">
      <c r="A31" s="2" t="s">
        <v>121</v>
      </c>
      <c r="B31" s="2" t="s">
        <v>94</v>
      </c>
      <c r="C31" s="2" t="s">
        <v>208</v>
      </c>
      <c r="D31" s="69">
        <v>60435</v>
      </c>
      <c r="E31" s="3"/>
      <c r="F31" s="9"/>
      <c r="G31" s="176" t="s">
        <v>269</v>
      </c>
    </row>
    <row r="32" spans="1:7" x14ac:dyDescent="0.35">
      <c r="A32" s="2" t="s">
        <v>121</v>
      </c>
      <c r="B32" s="2" t="s">
        <v>94</v>
      </c>
      <c r="C32" s="2" t="s">
        <v>207</v>
      </c>
      <c r="D32" s="69">
        <v>92906</v>
      </c>
      <c r="E32" s="3"/>
      <c r="F32" s="9"/>
      <c r="G32" s="177"/>
    </row>
    <row r="33" spans="1:14" x14ac:dyDescent="0.35">
      <c r="A33" s="2" t="s">
        <v>121</v>
      </c>
      <c r="B33" s="2" t="s">
        <v>94</v>
      </c>
      <c r="C33" s="2" t="s">
        <v>209</v>
      </c>
      <c r="D33" s="69">
        <v>61844</v>
      </c>
      <c r="E33" s="3"/>
      <c r="F33" s="9"/>
      <c r="G33" s="2"/>
    </row>
    <row r="35" spans="1:14" x14ac:dyDescent="0.35">
      <c r="A35" s="156" t="s">
        <v>103</v>
      </c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</row>
    <row r="36" spans="1:14" ht="15" customHeight="1" x14ac:dyDescent="0.35">
      <c r="A36" s="5" t="s">
        <v>72</v>
      </c>
      <c r="B36" s="5" t="s">
        <v>73</v>
      </c>
      <c r="C36" s="5" t="s">
        <v>169</v>
      </c>
      <c r="D36" s="5" t="s">
        <v>167</v>
      </c>
      <c r="E36" s="5" t="s">
        <v>168</v>
      </c>
      <c r="F36" s="5" t="s">
        <v>74</v>
      </c>
      <c r="G36" s="5" t="s">
        <v>75</v>
      </c>
      <c r="H36" s="5" t="s">
        <v>126</v>
      </c>
      <c r="I36" s="5" t="s">
        <v>125</v>
      </c>
      <c r="J36" s="5" t="s">
        <v>122</v>
      </c>
      <c r="K36" s="5" t="s">
        <v>123</v>
      </c>
      <c r="L36" s="5" t="s">
        <v>124</v>
      </c>
      <c r="M36" s="5" t="s">
        <v>76</v>
      </c>
      <c r="N36" s="5" t="s">
        <v>77</v>
      </c>
    </row>
    <row r="37" spans="1:14" x14ac:dyDescent="0.35">
      <c r="A37" s="6" t="s">
        <v>140</v>
      </c>
      <c r="B37" s="13">
        <v>1</v>
      </c>
      <c r="C37" s="13">
        <v>145</v>
      </c>
      <c r="D37" s="13">
        <v>22</v>
      </c>
      <c r="E37" s="28">
        <v>11</v>
      </c>
      <c r="F37" s="6" t="s">
        <v>210</v>
      </c>
      <c r="G37" s="14" t="s">
        <v>127</v>
      </c>
      <c r="H37" s="6">
        <v>6500</v>
      </c>
      <c r="I37" s="6">
        <v>6500</v>
      </c>
      <c r="J37" s="6">
        <v>6500</v>
      </c>
      <c r="K37" s="6">
        <v>3000</v>
      </c>
      <c r="L37" s="6">
        <v>5850</v>
      </c>
      <c r="M37" s="27" t="s">
        <v>211</v>
      </c>
      <c r="N37" s="27" t="s">
        <v>212</v>
      </c>
    </row>
    <row r="39" spans="1:14" x14ac:dyDescent="0.35">
      <c r="A39" s="156" t="s">
        <v>104</v>
      </c>
      <c r="B39" s="156"/>
    </row>
    <row r="40" spans="1:14" x14ac:dyDescent="0.35">
      <c r="A40" s="5" t="s">
        <v>78</v>
      </c>
      <c r="B40" s="5" t="s">
        <v>79</v>
      </c>
    </row>
    <row r="41" spans="1:14" x14ac:dyDescent="0.35">
      <c r="A41" s="2" t="s">
        <v>171</v>
      </c>
      <c r="B41" s="13">
        <v>0</v>
      </c>
    </row>
    <row r="42" spans="1:14" x14ac:dyDescent="0.35">
      <c r="A42" s="2" t="s">
        <v>172</v>
      </c>
      <c r="B42" s="13">
        <v>1680</v>
      </c>
    </row>
    <row r="45" spans="1:14" x14ac:dyDescent="0.35">
      <c r="A45" s="156" t="s">
        <v>213</v>
      </c>
      <c r="B45" s="156"/>
    </row>
    <row r="46" spans="1:14" x14ac:dyDescent="0.35">
      <c r="A46" s="5" t="s">
        <v>80</v>
      </c>
      <c r="B46" s="5" t="s">
        <v>81</v>
      </c>
    </row>
    <row r="47" spans="1:14" x14ac:dyDescent="0.35">
      <c r="A47" s="2" t="s">
        <v>128</v>
      </c>
      <c r="B47" s="13">
        <v>60</v>
      </c>
    </row>
    <row r="48" spans="1:14" x14ac:dyDescent="0.35">
      <c r="A48" s="2" t="s">
        <v>129</v>
      </c>
      <c r="B48" s="13">
        <v>30</v>
      </c>
    </row>
    <row r="49" spans="1:6" x14ac:dyDescent="0.35">
      <c r="A49" s="6" t="s">
        <v>106</v>
      </c>
      <c r="B49" s="13">
        <v>80</v>
      </c>
    </row>
    <row r="51" spans="1:6" x14ac:dyDescent="0.35">
      <c r="A51" s="156" t="s">
        <v>105</v>
      </c>
      <c r="B51" s="156"/>
      <c r="C51" s="156"/>
      <c r="D51" s="156"/>
    </row>
    <row r="52" spans="1:6" s="23" customFormat="1" x14ac:dyDescent="0.35">
      <c r="A52" s="10" t="s">
        <v>82</v>
      </c>
      <c r="B52" s="10" t="s">
        <v>83</v>
      </c>
      <c r="C52" s="10" t="s">
        <v>84</v>
      </c>
      <c r="D52" s="10" t="s">
        <v>85</v>
      </c>
      <c r="F52" s="8"/>
    </row>
    <row r="53" spans="1:6" x14ac:dyDescent="0.35">
      <c r="A53" s="6" t="s">
        <v>130</v>
      </c>
      <c r="B53" s="6" t="s">
        <v>131</v>
      </c>
      <c r="C53" s="13">
        <v>300</v>
      </c>
      <c r="D53" s="22">
        <f>C53*35.3146</f>
        <v>10594.38</v>
      </c>
    </row>
    <row r="54" spans="1:6" x14ac:dyDescent="0.35">
      <c r="A54" s="6" t="s">
        <v>133</v>
      </c>
      <c r="B54" s="6" t="s">
        <v>131</v>
      </c>
      <c r="C54" s="13">
        <v>80</v>
      </c>
      <c r="D54" s="22">
        <f t="shared" ref="D54:D67" si="0">C54*35.3146</f>
        <v>2825.1679999999997</v>
      </c>
    </row>
    <row r="55" spans="1:6" x14ac:dyDescent="0.35">
      <c r="A55" s="2" t="s">
        <v>134</v>
      </c>
      <c r="B55" s="6" t="s">
        <v>131</v>
      </c>
      <c r="C55" s="13">
        <v>120</v>
      </c>
      <c r="D55" s="22">
        <f t="shared" si="0"/>
        <v>4237.7519999999995</v>
      </c>
    </row>
    <row r="56" spans="1:6" x14ac:dyDescent="0.35">
      <c r="A56" s="6" t="s">
        <v>130</v>
      </c>
      <c r="B56" s="6" t="s">
        <v>135</v>
      </c>
      <c r="C56" s="13">
        <v>60</v>
      </c>
      <c r="D56" s="22">
        <f t="shared" si="0"/>
        <v>2118.8759999999997</v>
      </c>
    </row>
    <row r="57" spans="1:6" x14ac:dyDescent="0.35">
      <c r="A57" s="6" t="s">
        <v>132</v>
      </c>
      <c r="B57" s="6" t="s">
        <v>135</v>
      </c>
      <c r="C57" s="13">
        <v>60</v>
      </c>
      <c r="D57" s="22">
        <f t="shared" si="0"/>
        <v>2118.8759999999997</v>
      </c>
    </row>
    <row r="58" spans="1:6" x14ac:dyDescent="0.35">
      <c r="A58" s="2" t="s">
        <v>157</v>
      </c>
      <c r="B58" s="6" t="s">
        <v>135</v>
      </c>
      <c r="C58" s="13">
        <v>20</v>
      </c>
      <c r="D58" s="22">
        <f t="shared" si="0"/>
        <v>706.29199999999992</v>
      </c>
    </row>
    <row r="59" spans="1:6" x14ac:dyDescent="0.35">
      <c r="A59" s="2" t="s">
        <v>158</v>
      </c>
      <c r="B59" s="6" t="s">
        <v>135</v>
      </c>
      <c r="C59" s="13">
        <v>20</v>
      </c>
      <c r="D59" s="22">
        <f t="shared" si="0"/>
        <v>706.29199999999992</v>
      </c>
    </row>
    <row r="60" spans="1:6" x14ac:dyDescent="0.35">
      <c r="A60" s="2" t="s">
        <v>214</v>
      </c>
      <c r="B60" s="6" t="s">
        <v>135</v>
      </c>
      <c r="C60" s="13">
        <v>30</v>
      </c>
      <c r="D60" s="22">
        <f t="shared" si="0"/>
        <v>1059.4379999999999</v>
      </c>
    </row>
    <row r="61" spans="1:6" x14ac:dyDescent="0.35">
      <c r="A61" s="2" t="s">
        <v>215</v>
      </c>
      <c r="B61" s="6" t="s">
        <v>135</v>
      </c>
      <c r="C61" s="13">
        <v>30</v>
      </c>
      <c r="D61" s="22">
        <f t="shared" si="0"/>
        <v>1059.4379999999999</v>
      </c>
    </row>
    <row r="62" spans="1:6" x14ac:dyDescent="0.35">
      <c r="A62" s="2" t="s">
        <v>159</v>
      </c>
      <c r="B62" s="6" t="s">
        <v>698</v>
      </c>
      <c r="C62" s="13">
        <v>130</v>
      </c>
      <c r="D62" s="22">
        <f t="shared" si="0"/>
        <v>4590.8980000000001</v>
      </c>
    </row>
    <row r="63" spans="1:6" x14ac:dyDescent="0.35">
      <c r="A63" s="2" t="s">
        <v>216</v>
      </c>
      <c r="B63" s="6" t="s">
        <v>698</v>
      </c>
      <c r="C63" s="13">
        <v>200</v>
      </c>
      <c r="D63" s="22">
        <f t="shared" si="0"/>
        <v>7062.92</v>
      </c>
    </row>
    <row r="64" spans="1:6" x14ac:dyDescent="0.35">
      <c r="A64" s="2" t="s">
        <v>217</v>
      </c>
      <c r="B64" s="6" t="s">
        <v>698</v>
      </c>
      <c r="C64" s="13">
        <v>70</v>
      </c>
      <c r="D64" s="22">
        <f t="shared" si="0"/>
        <v>2472.0219999999999</v>
      </c>
    </row>
    <row r="65" spans="1:10" x14ac:dyDescent="0.35">
      <c r="A65" s="2" t="s">
        <v>218</v>
      </c>
      <c r="B65" s="6" t="s">
        <v>698</v>
      </c>
      <c r="C65" s="13">
        <v>70</v>
      </c>
      <c r="D65" s="22">
        <f t="shared" si="0"/>
        <v>2472.0219999999999</v>
      </c>
    </row>
    <row r="66" spans="1:10" x14ac:dyDescent="0.35">
      <c r="A66" s="2" t="s">
        <v>160</v>
      </c>
      <c r="B66" s="6" t="s">
        <v>698</v>
      </c>
      <c r="C66" s="13">
        <v>25</v>
      </c>
      <c r="D66" s="22">
        <f t="shared" si="0"/>
        <v>882.86500000000001</v>
      </c>
    </row>
    <row r="67" spans="1:10" x14ac:dyDescent="0.35">
      <c r="A67" s="2" t="s">
        <v>219</v>
      </c>
      <c r="B67" s="6" t="s">
        <v>698</v>
      </c>
      <c r="C67" s="13">
        <v>70</v>
      </c>
      <c r="D67" s="22">
        <f t="shared" si="0"/>
        <v>2472.0219999999999</v>
      </c>
    </row>
    <row r="68" spans="1:10" x14ac:dyDescent="0.35">
      <c r="A68" s="2" t="s">
        <v>220</v>
      </c>
      <c r="B68" s="6" t="s">
        <v>131</v>
      </c>
      <c r="C68" s="13">
        <v>12</v>
      </c>
      <c r="D68" s="22">
        <f>C68*35.3146</f>
        <v>423.77519999999998</v>
      </c>
    </row>
    <row r="69" spans="1:10" x14ac:dyDescent="0.35">
      <c r="A69" s="2" t="s">
        <v>222</v>
      </c>
      <c r="B69" s="6" t="s">
        <v>131</v>
      </c>
      <c r="C69" s="13">
        <v>70</v>
      </c>
      <c r="D69" s="22">
        <f>C69*35.3146</f>
        <v>2472.0219999999999</v>
      </c>
    </row>
    <row r="70" spans="1:10" x14ac:dyDescent="0.35">
      <c r="A70" s="2" t="s">
        <v>221</v>
      </c>
      <c r="B70" s="6" t="s">
        <v>131</v>
      </c>
      <c r="C70" s="13">
        <v>20</v>
      </c>
      <c r="D70" s="22">
        <f>C70*35.3146</f>
        <v>706.29199999999992</v>
      </c>
    </row>
    <row r="71" spans="1:10" x14ac:dyDescent="0.35">
      <c r="A71" s="2" t="s">
        <v>223</v>
      </c>
      <c r="B71" s="6" t="s">
        <v>131</v>
      </c>
      <c r="C71" s="13">
        <v>70</v>
      </c>
      <c r="D71" s="22">
        <f>C71*35.3146</f>
        <v>2472.0219999999999</v>
      </c>
    </row>
    <row r="73" spans="1:10" x14ac:dyDescent="0.35">
      <c r="A73" s="163" t="s">
        <v>92</v>
      </c>
      <c r="B73" s="164"/>
      <c r="C73" s="164"/>
      <c r="D73" s="165"/>
      <c r="E73" s="10"/>
      <c r="F73" s="10"/>
      <c r="G73" s="10"/>
      <c r="H73" s="10"/>
      <c r="I73" s="10"/>
      <c r="J73" s="10"/>
    </row>
    <row r="74" spans="1:10" s="23" customFormat="1" x14ac:dyDescent="0.35">
      <c r="A74" s="10" t="s">
        <v>22</v>
      </c>
      <c r="B74" s="10" t="s">
        <v>30</v>
      </c>
      <c r="C74" s="10" t="s">
        <v>31</v>
      </c>
      <c r="D74" s="10" t="s">
        <v>32</v>
      </c>
      <c r="E74" s="10" t="s">
        <v>33</v>
      </c>
      <c r="F74" s="10" t="s">
        <v>34</v>
      </c>
      <c r="G74" s="10" t="s">
        <v>35</v>
      </c>
      <c r="H74" s="10" t="s">
        <v>36</v>
      </c>
      <c r="I74" s="10" t="s">
        <v>37</v>
      </c>
      <c r="J74" s="10" t="s">
        <v>38</v>
      </c>
    </row>
    <row r="75" spans="1:10" x14ac:dyDescent="0.35">
      <c r="A75" s="2" t="s">
        <v>117</v>
      </c>
      <c r="B75" s="15"/>
      <c r="C75" s="15"/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</row>
    <row r="76" spans="1:10" x14ac:dyDescent="0.35">
      <c r="A76" s="2" t="s">
        <v>118</v>
      </c>
      <c r="B76" s="15"/>
      <c r="C76" s="15">
        <v>302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</row>
    <row r="77" spans="1:10" x14ac:dyDescent="0.35">
      <c r="A77" s="6" t="s">
        <v>119</v>
      </c>
      <c r="B77" s="15"/>
      <c r="C77" s="15">
        <v>204</v>
      </c>
      <c r="D77" s="15">
        <v>0</v>
      </c>
      <c r="E77" s="15">
        <v>220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</row>
    <row r="78" spans="1:10" x14ac:dyDescent="0.35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x14ac:dyDescent="0.35">
      <c r="A79" s="163" t="s">
        <v>109</v>
      </c>
      <c r="B79" s="164"/>
      <c r="C79" s="164"/>
      <c r="D79" s="165"/>
      <c r="E79" s="10"/>
      <c r="F79" s="10"/>
      <c r="G79" s="10"/>
      <c r="H79" s="10"/>
      <c r="I79" s="10"/>
      <c r="J79" s="10"/>
    </row>
    <row r="80" spans="1:10" s="23" customFormat="1" x14ac:dyDescent="0.35">
      <c r="A80" s="10" t="s">
        <v>22</v>
      </c>
      <c r="B80" s="10" t="s">
        <v>30</v>
      </c>
      <c r="C80" s="10" t="s">
        <v>31</v>
      </c>
      <c r="D80" s="10" t="s">
        <v>32</v>
      </c>
      <c r="E80" s="10" t="s">
        <v>33</v>
      </c>
      <c r="F80" s="10" t="s">
        <v>34</v>
      </c>
      <c r="G80" s="10" t="s">
        <v>35</v>
      </c>
      <c r="H80" s="10" t="s">
        <v>36</v>
      </c>
      <c r="I80" s="10" t="s">
        <v>37</v>
      </c>
      <c r="J80" s="10" t="s">
        <v>38</v>
      </c>
    </row>
    <row r="81" spans="1:11" x14ac:dyDescent="0.35">
      <c r="A81" s="17">
        <v>0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</row>
    <row r="82" spans="1:11" x14ac:dyDescent="0.35">
      <c r="A82" s="13">
        <v>0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</row>
    <row r="83" spans="1:11" x14ac:dyDescent="0.35">
      <c r="B83" s="6"/>
      <c r="C83" s="6"/>
      <c r="D83" s="6"/>
      <c r="E83" s="6"/>
      <c r="F83" s="6"/>
      <c r="G83" s="6"/>
      <c r="H83" s="6"/>
      <c r="I83" s="6"/>
      <c r="J83" s="6"/>
    </row>
    <row r="84" spans="1:11" s="23" customFormat="1" x14ac:dyDescent="0.35">
      <c r="B84" s="12" t="s">
        <v>25</v>
      </c>
      <c r="C84" s="10" t="s">
        <v>26</v>
      </c>
      <c r="D84" s="12" t="s">
        <v>27</v>
      </c>
      <c r="E84" s="10" t="s">
        <v>26</v>
      </c>
      <c r="F84" s="12" t="s">
        <v>28</v>
      </c>
      <c r="G84" s="10" t="s">
        <v>26</v>
      </c>
      <c r="H84" s="12" t="s">
        <v>29</v>
      </c>
      <c r="I84" s="10" t="s">
        <v>138</v>
      </c>
      <c r="J84" s="10" t="s">
        <v>26</v>
      </c>
    </row>
    <row r="85" spans="1:11" x14ac:dyDescent="0.35">
      <c r="A85" s="6" t="s">
        <v>182</v>
      </c>
      <c r="B85" s="6" t="s">
        <v>136</v>
      </c>
      <c r="C85" s="13">
        <v>4</v>
      </c>
      <c r="D85" s="6" t="s">
        <v>95</v>
      </c>
      <c r="E85" s="13">
        <v>2</v>
      </c>
      <c r="F85" s="2" t="s">
        <v>97</v>
      </c>
      <c r="G85" s="13">
        <v>1</v>
      </c>
      <c r="H85" s="7" t="s">
        <v>119</v>
      </c>
      <c r="I85" s="15">
        <v>60435</v>
      </c>
      <c r="J85" s="15">
        <v>1</v>
      </c>
    </row>
    <row r="86" spans="1:11" x14ac:dyDescent="0.35">
      <c r="A86" s="6"/>
      <c r="B86" s="6"/>
      <c r="C86" s="6"/>
      <c r="D86" s="6" t="s">
        <v>161</v>
      </c>
      <c r="E86" s="13">
        <v>2</v>
      </c>
      <c r="F86" s="2" t="s">
        <v>98</v>
      </c>
      <c r="G86" s="13">
        <v>1</v>
      </c>
      <c r="H86" s="7" t="s">
        <v>118</v>
      </c>
      <c r="I86" s="15">
        <v>92906</v>
      </c>
      <c r="J86" s="15">
        <v>1</v>
      </c>
    </row>
    <row r="87" spans="1:11" x14ac:dyDescent="0.35">
      <c r="A87" s="6"/>
      <c r="B87" s="6"/>
      <c r="C87" s="6"/>
      <c r="D87" s="2" t="s">
        <v>96</v>
      </c>
      <c r="E87" s="13">
        <v>2</v>
      </c>
      <c r="F87" s="2" t="s">
        <v>137</v>
      </c>
      <c r="G87" s="13">
        <v>0</v>
      </c>
      <c r="H87" s="7"/>
      <c r="I87" s="15"/>
      <c r="J87" s="15"/>
    </row>
    <row r="88" spans="1:11" x14ac:dyDescent="0.35">
      <c r="D88" s="2" t="s">
        <v>163</v>
      </c>
      <c r="E88" s="13">
        <v>6</v>
      </c>
      <c r="F88" s="2" t="s">
        <v>165</v>
      </c>
      <c r="G88" s="13">
        <v>1</v>
      </c>
      <c r="I88" s="23"/>
      <c r="J88" s="23"/>
    </row>
    <row r="89" spans="1:11" x14ac:dyDescent="0.35">
      <c r="D89" s="2" t="s">
        <v>164</v>
      </c>
      <c r="E89" s="13">
        <v>0</v>
      </c>
      <c r="F89" s="16" t="s">
        <v>166</v>
      </c>
      <c r="G89" s="15">
        <v>2</v>
      </c>
      <c r="I89" s="23"/>
      <c r="J89" s="23"/>
    </row>
    <row r="90" spans="1:11" x14ac:dyDescent="0.35">
      <c r="D90" s="2" t="s">
        <v>162</v>
      </c>
      <c r="E90" s="13">
        <v>2</v>
      </c>
      <c r="F90" s="29"/>
      <c r="G90" s="23"/>
      <c r="I90" s="23"/>
      <c r="J90" s="23"/>
    </row>
    <row r="91" spans="1:11" x14ac:dyDescent="0.35">
      <c r="D91" s="2" t="s">
        <v>170</v>
      </c>
      <c r="E91" s="13">
        <v>0</v>
      </c>
    </row>
    <row r="93" spans="1:11" x14ac:dyDescent="0.35">
      <c r="A93" s="166" t="s">
        <v>101</v>
      </c>
      <c r="B93" s="167"/>
      <c r="C93" s="167"/>
      <c r="D93" s="167"/>
      <c r="E93" s="167"/>
      <c r="F93" s="168"/>
    </row>
    <row r="94" spans="1:11" x14ac:dyDescent="0.35">
      <c r="A94" s="5" t="s">
        <v>10</v>
      </c>
      <c r="B94" s="5" t="s">
        <v>22</v>
      </c>
      <c r="C94" s="5" t="s">
        <v>24</v>
      </c>
      <c r="D94" s="5" t="s">
        <v>61</v>
      </c>
      <c r="E94" s="5" t="s">
        <v>62</v>
      </c>
      <c r="F94" s="5" t="s">
        <v>63</v>
      </c>
    </row>
    <row r="95" spans="1:11" x14ac:dyDescent="0.35">
      <c r="A95" s="2"/>
      <c r="B95" s="2" t="s">
        <v>191</v>
      </c>
      <c r="C95" s="1"/>
      <c r="D95" s="24"/>
      <c r="E95" s="25">
        <v>33431</v>
      </c>
      <c r="F95" s="25"/>
    </row>
    <row r="96" spans="1:11" x14ac:dyDescent="0.35">
      <c r="A96" s="2"/>
      <c r="B96" s="2" t="s">
        <v>192</v>
      </c>
      <c r="C96" s="26"/>
      <c r="D96" s="25"/>
      <c r="E96" s="25">
        <v>33019</v>
      </c>
      <c r="F96" s="25"/>
      <c r="H96" s="169"/>
      <c r="I96" s="169"/>
      <c r="J96" s="169"/>
      <c r="K96" s="169"/>
    </row>
    <row r="97" spans="1:11" x14ac:dyDescent="0.35">
      <c r="A97" s="2"/>
      <c r="B97" s="2" t="s">
        <v>193</v>
      </c>
      <c r="C97" s="1"/>
      <c r="D97" s="24"/>
      <c r="E97" s="25">
        <v>37149</v>
      </c>
      <c r="F97" s="25"/>
      <c r="H97" s="30"/>
      <c r="I97" s="30"/>
      <c r="J97" s="170"/>
      <c r="K97" s="171"/>
    </row>
    <row r="98" spans="1:11" ht="15" customHeight="1" x14ac:dyDescent="0.35">
      <c r="A98" s="2"/>
      <c r="B98" s="2" t="s">
        <v>194</v>
      </c>
      <c r="C98" s="1"/>
      <c r="D98" s="24"/>
      <c r="E98" s="25">
        <v>36049</v>
      </c>
      <c r="F98" s="25"/>
      <c r="H98" s="172"/>
      <c r="I98" s="172"/>
      <c r="J98" s="170"/>
      <c r="K98" s="171"/>
    </row>
    <row r="99" spans="1:11" x14ac:dyDescent="0.35">
      <c r="A99" s="2"/>
      <c r="B99" s="2" t="s">
        <v>195</v>
      </c>
      <c r="C99" s="26"/>
      <c r="D99" s="25"/>
      <c r="E99" s="25">
        <v>36058</v>
      </c>
      <c r="F99" s="25"/>
      <c r="H99" s="30"/>
      <c r="I99" s="30"/>
      <c r="J99" s="31"/>
      <c r="K99" s="31"/>
    </row>
    <row r="100" spans="1:11" x14ac:dyDescent="0.35">
      <c r="A100" s="2"/>
      <c r="B100" s="2" t="s">
        <v>196</v>
      </c>
      <c r="C100" s="1"/>
      <c r="D100" s="25"/>
      <c r="E100" s="25">
        <v>36014</v>
      </c>
      <c r="F100" s="25"/>
      <c r="G100" s="9"/>
      <c r="H100" s="33"/>
      <c r="I100" s="33"/>
      <c r="J100" s="32"/>
      <c r="K100" s="32"/>
    </row>
    <row r="101" spans="1:11" x14ac:dyDescent="0.35">
      <c r="A101" s="2"/>
      <c r="B101" s="2" t="s">
        <v>197</v>
      </c>
      <c r="C101" s="1"/>
      <c r="D101" s="24"/>
      <c r="E101" s="25">
        <v>36688</v>
      </c>
      <c r="F101" s="25"/>
      <c r="G101" s="9"/>
      <c r="H101" s="33"/>
      <c r="I101" s="33"/>
      <c r="J101" s="32"/>
      <c r="K101" s="32"/>
    </row>
    <row r="102" spans="1:11" x14ac:dyDescent="0.35">
      <c r="A102" s="2"/>
      <c r="B102" s="2" t="s">
        <v>198</v>
      </c>
      <c r="C102" s="1"/>
      <c r="D102" s="24"/>
      <c r="E102" s="25">
        <v>35874</v>
      </c>
      <c r="F102" s="25"/>
      <c r="G102" s="9"/>
      <c r="H102" s="33"/>
      <c r="I102" s="33"/>
      <c r="J102" s="32"/>
      <c r="K102" s="32"/>
    </row>
    <row r="103" spans="1:11" x14ac:dyDescent="0.35">
      <c r="A103" s="2"/>
      <c r="B103" s="2" t="s">
        <v>199</v>
      </c>
      <c r="C103" s="1"/>
      <c r="D103" s="24"/>
      <c r="E103" s="25">
        <v>33431</v>
      </c>
      <c r="F103" s="25"/>
      <c r="G103" s="9"/>
      <c r="H103" s="33"/>
      <c r="I103" s="33"/>
      <c r="J103" s="32"/>
      <c r="K103" s="32"/>
    </row>
    <row r="104" spans="1:11" x14ac:dyDescent="0.35">
      <c r="A104" s="2"/>
      <c r="B104" s="2" t="s">
        <v>200</v>
      </c>
      <c r="C104" s="1"/>
      <c r="D104" s="24"/>
      <c r="E104" s="25">
        <v>33295</v>
      </c>
      <c r="F104" s="25"/>
      <c r="G104" s="9"/>
      <c r="H104" s="33"/>
      <c r="I104" s="33"/>
      <c r="J104" s="32"/>
      <c r="K104" s="32"/>
    </row>
    <row r="105" spans="1:11" x14ac:dyDescent="0.35">
      <c r="A105" s="2"/>
      <c r="B105" s="2" t="s">
        <v>201</v>
      </c>
      <c r="C105" s="1"/>
      <c r="D105" s="24"/>
      <c r="E105" s="25">
        <v>36055</v>
      </c>
      <c r="F105" s="25"/>
      <c r="G105" s="9"/>
      <c r="H105" s="33"/>
      <c r="I105" s="33"/>
      <c r="J105" s="32"/>
      <c r="K105" s="32"/>
    </row>
    <row r="106" spans="1:11" x14ac:dyDescent="0.35">
      <c r="A106" s="2"/>
      <c r="B106" s="2" t="s">
        <v>202</v>
      </c>
      <c r="C106" s="1"/>
      <c r="D106" s="24"/>
      <c r="E106" s="25">
        <v>36314</v>
      </c>
      <c r="F106" s="25"/>
      <c r="G106" s="9"/>
      <c r="H106" s="33"/>
      <c r="I106" s="33"/>
      <c r="J106" s="32"/>
      <c r="K106" s="32"/>
    </row>
    <row r="107" spans="1:11" x14ac:dyDescent="0.35">
      <c r="A107" s="2"/>
      <c r="B107" s="2" t="s">
        <v>203</v>
      </c>
      <c r="C107" s="1"/>
      <c r="D107" s="24"/>
      <c r="E107" s="25">
        <v>36055</v>
      </c>
      <c r="F107" s="25"/>
      <c r="G107" s="9"/>
      <c r="H107" s="33"/>
      <c r="I107" s="33"/>
      <c r="J107" s="32"/>
      <c r="K107" s="32"/>
    </row>
    <row r="108" spans="1:11" x14ac:dyDescent="0.35">
      <c r="A108" s="2"/>
      <c r="B108" s="2" t="s">
        <v>204</v>
      </c>
      <c r="C108" s="1"/>
      <c r="D108" s="24"/>
      <c r="E108" s="25">
        <v>35874</v>
      </c>
      <c r="F108" s="25"/>
      <c r="G108" s="9"/>
      <c r="H108" s="33"/>
      <c r="I108" s="33"/>
      <c r="J108" s="32"/>
      <c r="K108" s="32"/>
    </row>
    <row r="109" spans="1:11" x14ac:dyDescent="0.35">
      <c r="A109" s="2"/>
      <c r="B109" s="2" t="s">
        <v>205</v>
      </c>
      <c r="C109" s="1"/>
      <c r="D109" s="24"/>
      <c r="E109" s="25">
        <v>36281</v>
      </c>
      <c r="F109" s="25"/>
      <c r="G109" s="9"/>
      <c r="H109" s="33"/>
      <c r="I109" s="33"/>
      <c r="J109" s="32"/>
      <c r="K109" s="32"/>
    </row>
    <row r="110" spans="1:11" x14ac:dyDescent="0.35">
      <c r="A110" s="2"/>
      <c r="B110" s="2" t="s">
        <v>206</v>
      </c>
      <c r="C110" s="1"/>
      <c r="D110" s="24"/>
      <c r="E110" s="25">
        <v>36281</v>
      </c>
      <c r="F110" s="25"/>
      <c r="G110" s="9"/>
      <c r="H110" s="33"/>
      <c r="I110" s="33"/>
      <c r="J110" s="32"/>
      <c r="K110" s="32"/>
    </row>
    <row r="111" spans="1:11" x14ac:dyDescent="0.35">
      <c r="A111" s="2"/>
      <c r="B111" s="2"/>
      <c r="C111" s="1"/>
      <c r="D111" s="24"/>
      <c r="E111" s="25"/>
      <c r="F111" s="25"/>
      <c r="G111" s="9"/>
      <c r="H111" s="33"/>
      <c r="I111" s="33"/>
      <c r="J111" s="32"/>
      <c r="K111" s="32"/>
    </row>
    <row r="112" spans="1:11" x14ac:dyDescent="0.35">
      <c r="A112" s="2"/>
      <c r="B112" s="2"/>
      <c r="C112" s="1"/>
      <c r="D112" s="24"/>
      <c r="E112" s="25"/>
      <c r="F112" s="25"/>
      <c r="H112" s="34"/>
    </row>
    <row r="113" spans="1:10" x14ac:dyDescent="0.35">
      <c r="A113" s="2"/>
      <c r="B113" s="2"/>
      <c r="C113" s="1"/>
      <c r="D113" s="24"/>
      <c r="E113" s="25"/>
      <c r="F113" s="25"/>
      <c r="H113" s="34"/>
    </row>
    <row r="114" spans="1:10" x14ac:dyDescent="0.35">
      <c r="A114" s="2"/>
      <c r="B114" s="2"/>
      <c r="C114" s="1"/>
      <c r="D114" s="24"/>
      <c r="E114" s="25"/>
      <c r="F114" s="25"/>
    </row>
    <row r="115" spans="1:10" x14ac:dyDescent="0.35">
      <c r="A115" s="2"/>
      <c r="B115" s="2"/>
      <c r="C115" s="1"/>
      <c r="D115" s="24"/>
      <c r="E115" s="25"/>
      <c r="F115" s="25"/>
    </row>
    <row r="117" spans="1:10" x14ac:dyDescent="0.35">
      <c r="A117" s="155" t="s">
        <v>108</v>
      </c>
      <c r="B117" s="155"/>
      <c r="C117" s="155"/>
      <c r="D117" s="155"/>
      <c r="E117" s="155"/>
      <c r="F117" s="155"/>
    </row>
    <row r="119" spans="1:10" x14ac:dyDescent="0.35">
      <c r="A119" s="156" t="s">
        <v>100</v>
      </c>
      <c r="B119" s="156"/>
      <c r="C119" s="156"/>
      <c r="D119" s="156"/>
      <c r="E119" s="156"/>
      <c r="F119" s="156"/>
      <c r="G119" s="156"/>
      <c r="H119" s="156"/>
      <c r="I119" s="156"/>
      <c r="J119" s="156"/>
    </row>
    <row r="120" spans="1:10" x14ac:dyDescent="0.35">
      <c r="A120" s="5" t="s">
        <v>51</v>
      </c>
      <c r="B120" s="5" t="s">
        <v>52</v>
      </c>
      <c r="C120" s="5" t="s">
        <v>53</v>
      </c>
      <c r="D120" s="5" t="s">
        <v>54</v>
      </c>
      <c r="E120" s="5" t="s">
        <v>55</v>
      </c>
      <c r="F120" s="5" t="s">
        <v>56</v>
      </c>
      <c r="G120" s="5" t="s">
        <v>57</v>
      </c>
      <c r="H120" s="5" t="s">
        <v>58</v>
      </c>
      <c r="I120" s="5" t="s">
        <v>59</v>
      </c>
      <c r="J120" s="5" t="s">
        <v>60</v>
      </c>
    </row>
    <row r="121" spans="1:10" x14ac:dyDescent="0.35">
      <c r="A121" s="6" t="s">
        <v>229</v>
      </c>
      <c r="B121" s="6" t="s">
        <v>229</v>
      </c>
      <c r="C121" s="15"/>
      <c r="D121" s="15"/>
      <c r="E121" s="15">
        <v>1350</v>
      </c>
      <c r="F121" s="15">
        <v>50</v>
      </c>
      <c r="G121" s="15">
        <f>E121+F121</f>
        <v>1400</v>
      </c>
      <c r="H121" s="15">
        <v>222</v>
      </c>
      <c r="I121" s="15"/>
      <c r="J121" s="15">
        <v>222</v>
      </c>
    </row>
    <row r="122" spans="1:10" x14ac:dyDescent="0.35">
      <c r="A122" s="6" t="s">
        <v>230</v>
      </c>
      <c r="B122" s="6"/>
      <c r="C122" s="15"/>
      <c r="D122" s="15"/>
      <c r="E122" s="15">
        <v>1300</v>
      </c>
      <c r="F122" s="15">
        <v>30</v>
      </c>
      <c r="G122" s="15">
        <f t="shared" ref="G122:G128" si="1">E122+F122</f>
        <v>1330</v>
      </c>
      <c r="H122" s="15">
        <v>186</v>
      </c>
      <c r="I122" s="15"/>
      <c r="J122" s="15">
        <v>186</v>
      </c>
    </row>
    <row r="123" spans="1:10" x14ac:dyDescent="0.35">
      <c r="A123" s="6" t="s">
        <v>231</v>
      </c>
      <c r="B123" s="6"/>
      <c r="C123" s="15"/>
      <c r="D123" s="15"/>
      <c r="E123" s="15">
        <v>190</v>
      </c>
      <c r="F123" s="15">
        <v>15</v>
      </c>
      <c r="G123" s="15">
        <f t="shared" si="1"/>
        <v>205</v>
      </c>
      <c r="H123" s="15">
        <v>60</v>
      </c>
      <c r="I123" s="15"/>
      <c r="J123" s="15">
        <v>60</v>
      </c>
    </row>
    <row r="124" spans="1:10" x14ac:dyDescent="0.35">
      <c r="A124" s="6" t="s">
        <v>236</v>
      </c>
      <c r="B124" s="6"/>
      <c r="C124" s="15"/>
      <c r="D124" s="15"/>
      <c r="E124" s="15">
        <v>250</v>
      </c>
      <c r="F124" s="15">
        <v>10</v>
      </c>
      <c r="G124" s="15">
        <f t="shared" si="1"/>
        <v>260</v>
      </c>
      <c r="H124" s="15">
        <v>34</v>
      </c>
      <c r="I124" s="15"/>
      <c r="J124" s="15">
        <v>34</v>
      </c>
    </row>
    <row r="125" spans="1:10" x14ac:dyDescent="0.35">
      <c r="A125" s="6" t="s">
        <v>237</v>
      </c>
      <c r="B125" s="6"/>
      <c r="C125" s="15"/>
      <c r="D125" s="15"/>
      <c r="E125" s="15">
        <v>225</v>
      </c>
      <c r="F125" s="15">
        <v>15</v>
      </c>
      <c r="G125" s="15">
        <f t="shared" si="1"/>
        <v>240</v>
      </c>
      <c r="H125" s="15">
        <v>49</v>
      </c>
      <c r="I125" s="15"/>
      <c r="J125" s="15">
        <v>49</v>
      </c>
    </row>
    <row r="126" spans="1:10" x14ac:dyDescent="0.35">
      <c r="A126" s="6" t="s">
        <v>235</v>
      </c>
      <c r="B126" s="6"/>
      <c r="C126" s="15"/>
      <c r="D126" s="15"/>
      <c r="E126" s="15">
        <v>230</v>
      </c>
      <c r="F126" s="15">
        <v>25</v>
      </c>
      <c r="G126" s="15">
        <f t="shared" si="1"/>
        <v>255</v>
      </c>
      <c r="H126" s="15">
        <v>47</v>
      </c>
      <c r="I126" s="15"/>
      <c r="J126" s="15">
        <v>47</v>
      </c>
    </row>
    <row r="127" spans="1:10" x14ac:dyDescent="0.35">
      <c r="A127" s="6" t="s">
        <v>238</v>
      </c>
      <c r="B127" s="6"/>
      <c r="C127" s="15"/>
      <c r="D127" s="15"/>
      <c r="E127" s="15">
        <v>350</v>
      </c>
      <c r="F127" s="15">
        <v>20</v>
      </c>
      <c r="G127" s="15">
        <f t="shared" si="1"/>
        <v>370</v>
      </c>
      <c r="H127" s="15">
        <v>93</v>
      </c>
      <c r="I127" s="15"/>
      <c r="J127" s="15">
        <v>93</v>
      </c>
    </row>
    <row r="128" spans="1:10" x14ac:dyDescent="0.35">
      <c r="A128" s="6" t="s">
        <v>234</v>
      </c>
      <c r="B128" s="6"/>
      <c r="C128" s="15"/>
      <c r="D128" s="15"/>
      <c r="E128" s="15">
        <v>55</v>
      </c>
      <c r="F128" s="15">
        <v>5</v>
      </c>
      <c r="G128" s="15">
        <f t="shared" si="1"/>
        <v>60</v>
      </c>
      <c r="H128" s="15">
        <v>15</v>
      </c>
      <c r="I128" s="15"/>
      <c r="J128" s="15">
        <v>15</v>
      </c>
    </row>
    <row r="129" spans="1:14" x14ac:dyDescent="0.35">
      <c r="A129" s="6"/>
      <c r="B129" s="6"/>
      <c r="C129" s="15"/>
      <c r="D129" s="15"/>
      <c r="E129" s="15">
        <f t="shared" ref="E129:J129" si="2">SUM(E121:E128)</f>
        <v>3950</v>
      </c>
      <c r="F129" s="15">
        <f t="shared" si="2"/>
        <v>170</v>
      </c>
      <c r="G129" s="15">
        <f t="shared" si="2"/>
        <v>4120</v>
      </c>
      <c r="H129" s="15">
        <f t="shared" si="2"/>
        <v>706</v>
      </c>
      <c r="I129" s="15">
        <f t="shared" si="2"/>
        <v>0</v>
      </c>
      <c r="J129" s="15">
        <f t="shared" si="2"/>
        <v>706</v>
      </c>
    </row>
    <row r="130" spans="1:14" x14ac:dyDescent="0.35">
      <c r="A130" s="6"/>
      <c r="B130" s="6"/>
      <c r="C130" s="15"/>
      <c r="D130" s="15"/>
      <c r="E130" s="15"/>
      <c r="F130" s="15"/>
      <c r="G130" s="15"/>
      <c r="H130" s="15"/>
      <c r="I130" s="15"/>
      <c r="J130" s="15"/>
    </row>
    <row r="131" spans="1:14" x14ac:dyDescent="0.35">
      <c r="A131" s="6"/>
      <c r="B131" s="6"/>
      <c r="C131" s="15"/>
      <c r="D131" s="15"/>
      <c r="E131" s="15"/>
      <c r="F131" s="15"/>
      <c r="G131" s="15"/>
      <c r="H131" s="15"/>
      <c r="I131" s="15"/>
      <c r="J131" s="15"/>
    </row>
    <row r="132" spans="1:14" x14ac:dyDescent="0.35">
      <c r="A132" s="6"/>
      <c r="B132" s="6"/>
      <c r="C132" s="15"/>
      <c r="D132" s="15"/>
      <c r="E132" s="15"/>
      <c r="F132" s="15"/>
      <c r="G132" s="15"/>
      <c r="H132" s="15"/>
      <c r="I132" s="15"/>
      <c r="J132" s="15"/>
    </row>
    <row r="133" spans="1:14" x14ac:dyDescent="0.35">
      <c r="A133" s="6"/>
      <c r="B133" s="6"/>
      <c r="C133" s="13"/>
      <c r="D133" s="13"/>
      <c r="E133" s="13"/>
      <c r="F133" s="13"/>
      <c r="G133" s="13"/>
      <c r="H133" s="13"/>
      <c r="I133" s="13"/>
      <c r="J133" s="13"/>
    </row>
    <row r="134" spans="1:14" x14ac:dyDescent="0.35">
      <c r="N134" s="11"/>
    </row>
    <row r="135" spans="1:14" x14ac:dyDescent="0.35">
      <c r="A135" s="156" t="s">
        <v>102</v>
      </c>
      <c r="B135" s="156"/>
      <c r="C135" s="156"/>
      <c r="D135" s="156"/>
      <c r="N135" s="11"/>
    </row>
    <row r="136" spans="1:14" x14ac:dyDescent="0.35">
      <c r="A136" s="5" t="s">
        <v>68</v>
      </c>
      <c r="B136" s="5" t="s">
        <v>69</v>
      </c>
      <c r="C136" s="5" t="s">
        <v>70</v>
      </c>
      <c r="D136" s="5" t="s">
        <v>71</v>
      </c>
      <c r="N136" s="11"/>
    </row>
    <row r="137" spans="1:14" x14ac:dyDescent="0.35">
      <c r="A137" s="6" t="s">
        <v>178</v>
      </c>
      <c r="B137" s="13">
        <v>302</v>
      </c>
      <c r="C137" s="6" t="s">
        <v>131</v>
      </c>
      <c r="D137" s="6" t="s">
        <v>265</v>
      </c>
      <c r="N137" s="11"/>
    </row>
    <row r="138" spans="1:14" x14ac:dyDescent="0.35">
      <c r="A138" s="6" t="s">
        <v>178</v>
      </c>
      <c r="B138" s="13">
        <v>204</v>
      </c>
      <c r="C138" s="6" t="s">
        <v>119</v>
      </c>
      <c r="D138" s="6" t="s">
        <v>265</v>
      </c>
      <c r="N138" s="11"/>
    </row>
    <row r="139" spans="1:14" x14ac:dyDescent="0.35">
      <c r="A139" s="6" t="s">
        <v>178</v>
      </c>
      <c r="B139" s="13">
        <v>220</v>
      </c>
      <c r="C139" s="6" t="s">
        <v>264</v>
      </c>
      <c r="D139" s="6" t="s">
        <v>265</v>
      </c>
      <c r="N139" s="11"/>
    </row>
    <row r="140" spans="1:14" x14ac:dyDescent="0.35">
      <c r="A140" s="6"/>
      <c r="B140" s="13"/>
      <c r="C140" s="6"/>
      <c r="D140" s="6"/>
      <c r="N140" s="11"/>
    </row>
    <row r="141" spans="1:14" x14ac:dyDescent="0.35">
      <c r="A141" s="6"/>
      <c r="B141" s="6"/>
      <c r="C141" s="6"/>
      <c r="D141" s="6"/>
      <c r="N141" s="11"/>
    </row>
    <row r="143" spans="1:14" x14ac:dyDescent="0.35">
      <c r="A143" s="6"/>
      <c r="B143" s="6"/>
      <c r="C143" s="6"/>
      <c r="D143" s="6"/>
      <c r="E143" s="6"/>
    </row>
    <row r="144" spans="1:14" x14ac:dyDescent="0.35">
      <c r="A144" s="5" t="s">
        <v>51</v>
      </c>
      <c r="B144" s="5" t="s">
        <v>64</v>
      </c>
      <c r="C144" s="5" t="s">
        <v>65</v>
      </c>
      <c r="D144" s="5" t="s">
        <v>66</v>
      </c>
      <c r="E144" s="5" t="s">
        <v>67</v>
      </c>
    </row>
    <row r="145" spans="1:12" x14ac:dyDescent="0.35">
      <c r="A145" s="7" t="s">
        <v>229</v>
      </c>
      <c r="B145" s="7" t="s">
        <v>696</v>
      </c>
      <c r="C145" s="36" t="s">
        <v>248</v>
      </c>
      <c r="D145" s="15">
        <v>9663844334</v>
      </c>
      <c r="E145" s="7" t="s">
        <v>259</v>
      </c>
    </row>
    <row r="146" spans="1:12" x14ac:dyDescent="0.35">
      <c r="A146" s="7" t="s">
        <v>239</v>
      </c>
      <c r="B146" s="7" t="s">
        <v>242</v>
      </c>
      <c r="C146" s="36" t="s">
        <v>249</v>
      </c>
      <c r="D146" s="15" t="s">
        <v>256</v>
      </c>
      <c r="E146" s="7" t="s">
        <v>260</v>
      </c>
    </row>
    <row r="147" spans="1:12" x14ac:dyDescent="0.35">
      <c r="A147" s="7" t="s">
        <v>231</v>
      </c>
      <c r="B147" s="7" t="s">
        <v>243</v>
      </c>
      <c r="C147" s="36" t="s">
        <v>250</v>
      </c>
      <c r="D147" s="15">
        <v>9848598188</v>
      </c>
      <c r="E147" s="7" t="s">
        <v>260</v>
      </c>
    </row>
    <row r="148" spans="1:12" x14ac:dyDescent="0.35">
      <c r="A148" s="7" t="s">
        <v>240</v>
      </c>
      <c r="B148" s="7" t="s">
        <v>244</v>
      </c>
      <c r="C148" s="36" t="s">
        <v>251</v>
      </c>
      <c r="D148" s="15">
        <v>9880797777</v>
      </c>
      <c r="E148" s="7" t="s">
        <v>260</v>
      </c>
    </row>
    <row r="149" spans="1:12" x14ac:dyDescent="0.35">
      <c r="A149" s="7" t="s">
        <v>241</v>
      </c>
      <c r="B149" s="7" t="s">
        <v>697</v>
      </c>
      <c r="C149" s="36" t="s">
        <v>252</v>
      </c>
      <c r="D149" s="15">
        <v>9844822303</v>
      </c>
      <c r="E149" s="7" t="s">
        <v>260</v>
      </c>
    </row>
    <row r="150" spans="1:12" x14ac:dyDescent="0.35">
      <c r="A150" s="7" t="s">
        <v>233</v>
      </c>
      <c r="B150" s="7" t="s">
        <v>245</v>
      </c>
      <c r="C150" s="36" t="s">
        <v>253</v>
      </c>
      <c r="D150" s="15" t="s">
        <v>257</v>
      </c>
      <c r="E150" s="7" t="s">
        <v>261</v>
      </c>
    </row>
    <row r="151" spans="1:12" x14ac:dyDescent="0.35">
      <c r="A151" s="7" t="s">
        <v>234</v>
      </c>
      <c r="B151" s="7" t="s">
        <v>246</v>
      </c>
      <c r="C151" s="36" t="s">
        <v>254</v>
      </c>
      <c r="D151" s="15">
        <v>9620245088</v>
      </c>
      <c r="E151" s="7" t="s">
        <v>262</v>
      </c>
    </row>
    <row r="152" spans="1:12" x14ac:dyDescent="0.35">
      <c r="A152" s="7" t="s">
        <v>232</v>
      </c>
      <c r="B152" s="7" t="s">
        <v>247</v>
      </c>
      <c r="C152" s="36" t="s">
        <v>255</v>
      </c>
      <c r="D152" s="15" t="s">
        <v>258</v>
      </c>
      <c r="E152" s="7" t="s">
        <v>263</v>
      </c>
    </row>
    <row r="153" spans="1:12" x14ac:dyDescent="0.35">
      <c r="A153" s="7"/>
      <c r="B153" s="7"/>
      <c r="C153" s="36"/>
      <c r="D153" s="7"/>
      <c r="E153" s="7"/>
    </row>
    <row r="154" spans="1:12" x14ac:dyDescent="0.35">
      <c r="A154" s="7"/>
      <c r="B154" s="7"/>
      <c r="C154" s="36"/>
      <c r="D154" s="7"/>
      <c r="E154" s="7"/>
    </row>
    <row r="155" spans="1:12" x14ac:dyDescent="0.35">
      <c r="A155" s="7"/>
      <c r="B155" s="7"/>
      <c r="C155" s="35"/>
      <c r="D155" s="7"/>
      <c r="E155" s="7"/>
    </row>
    <row r="158" spans="1:12" x14ac:dyDescent="0.35">
      <c r="A158" s="157" t="s">
        <v>99</v>
      </c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9"/>
    </row>
    <row r="159" spans="1:12" x14ac:dyDescent="0.35">
      <c r="A159" s="160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2"/>
    </row>
    <row r="160" spans="1:12" x14ac:dyDescent="0.35">
      <c r="A160" s="5" t="s">
        <v>39</v>
      </c>
      <c r="B160" s="5" t="s">
        <v>40</v>
      </c>
      <c r="C160" s="5" t="s">
        <v>41</v>
      </c>
      <c r="D160" s="5" t="s">
        <v>42</v>
      </c>
      <c r="E160" s="5" t="s">
        <v>43</v>
      </c>
      <c r="F160" s="5" t="s">
        <v>44</v>
      </c>
      <c r="G160" s="5" t="s">
        <v>45</v>
      </c>
      <c r="H160" s="5" t="s">
        <v>46</v>
      </c>
      <c r="I160" s="5" t="s">
        <v>47</v>
      </c>
      <c r="J160" s="5" t="s">
        <v>48</v>
      </c>
      <c r="K160" s="5" t="s">
        <v>49</v>
      </c>
      <c r="L160" s="5" t="s">
        <v>50</v>
      </c>
    </row>
    <row r="161" spans="1:12" x14ac:dyDescent="0.35">
      <c r="A161" s="6" t="s">
        <v>115</v>
      </c>
      <c r="B161" s="6" t="s">
        <v>224</v>
      </c>
      <c r="C161" s="6" t="s">
        <v>225</v>
      </c>
      <c r="D161" s="7"/>
      <c r="E161" s="7" t="s">
        <v>179</v>
      </c>
      <c r="F161" s="6" t="s">
        <v>226</v>
      </c>
      <c r="G161" s="6" t="s">
        <v>116</v>
      </c>
      <c r="H161" s="6" t="s">
        <v>227</v>
      </c>
      <c r="I161" s="6" t="s">
        <v>228</v>
      </c>
      <c r="J161" s="6" t="s">
        <v>173</v>
      </c>
      <c r="K161" s="7"/>
      <c r="L161" s="6" t="s">
        <v>139</v>
      </c>
    </row>
    <row r="162" spans="1:12" x14ac:dyDescent="0.35">
      <c r="A162" s="6"/>
      <c r="B162" s="6"/>
      <c r="C162" s="6"/>
      <c r="D162" s="7"/>
      <c r="E162" s="7" t="s">
        <v>180</v>
      </c>
      <c r="F162" s="6"/>
      <c r="G162" s="6"/>
      <c r="H162" s="6"/>
      <c r="I162" s="6"/>
      <c r="J162" s="6"/>
      <c r="K162" s="7"/>
      <c r="L162" s="6"/>
    </row>
    <row r="163" spans="1:12" x14ac:dyDescent="0.35">
      <c r="A163" s="6"/>
      <c r="B163" s="6"/>
      <c r="C163" s="6"/>
      <c r="D163" s="7"/>
      <c r="E163" s="7" t="s">
        <v>181</v>
      </c>
      <c r="F163" s="6"/>
      <c r="G163" s="6"/>
      <c r="H163" s="6"/>
      <c r="I163" s="6"/>
      <c r="J163" s="6"/>
      <c r="K163" s="7"/>
      <c r="L163" s="6"/>
    </row>
    <row r="184" spans="3:14" x14ac:dyDescent="0.35">
      <c r="C184" s="8" t="s">
        <v>141</v>
      </c>
    </row>
    <row r="185" spans="3:14" x14ac:dyDescent="0.35">
      <c r="C185" s="8" t="s">
        <v>142</v>
      </c>
    </row>
    <row r="186" spans="3:14" x14ac:dyDescent="0.35">
      <c r="C186" s="8" t="s">
        <v>143</v>
      </c>
    </row>
    <row r="187" spans="3:14" x14ac:dyDescent="0.35">
      <c r="C187" s="8" t="s">
        <v>144</v>
      </c>
    </row>
    <row r="188" spans="3:14" x14ac:dyDescent="0.35">
      <c r="C188" s="8" t="s">
        <v>145</v>
      </c>
    </row>
    <row r="189" spans="3:14" x14ac:dyDescent="0.35">
      <c r="C189" s="8" t="s">
        <v>146</v>
      </c>
      <c r="F189" s="134" t="s">
        <v>775</v>
      </c>
      <c r="G189" s="134" t="s">
        <v>774</v>
      </c>
      <c r="H189" s="134" t="s">
        <v>77</v>
      </c>
      <c r="I189" s="134" t="s">
        <v>777</v>
      </c>
      <c r="J189" s="134" t="s">
        <v>781</v>
      </c>
      <c r="K189" s="134" t="s">
        <v>782</v>
      </c>
    </row>
    <row r="190" spans="3:14" ht="29" x14ac:dyDescent="0.35">
      <c r="C190" s="8" t="s">
        <v>147</v>
      </c>
      <c r="F190" s="13" t="s">
        <v>271</v>
      </c>
      <c r="G190" s="13" t="str">
        <f>Laurel!M60</f>
        <v>MBR</v>
      </c>
      <c r="H190" s="13">
        <f>Laurel!N60</f>
        <v>330</v>
      </c>
      <c r="I190" s="18" t="s">
        <v>778</v>
      </c>
      <c r="J190" s="13" t="s">
        <v>780</v>
      </c>
      <c r="K190" s="13">
        <v>9789155544</v>
      </c>
    </row>
    <row r="191" spans="3:14" ht="29" x14ac:dyDescent="0.35">
      <c r="C191" s="8" t="s">
        <v>148</v>
      </c>
      <c r="F191" s="13" t="s">
        <v>182</v>
      </c>
      <c r="G191" s="13" t="str">
        <f>M37</f>
        <v>ASP</v>
      </c>
      <c r="H191" s="13">
        <v>200</v>
      </c>
      <c r="I191" s="18" t="s">
        <v>776</v>
      </c>
      <c r="J191" s="13" t="s">
        <v>779</v>
      </c>
      <c r="K191" s="13">
        <v>9886747287</v>
      </c>
      <c r="M191" s="8" t="s">
        <v>783</v>
      </c>
      <c r="N191" s="8" t="s">
        <v>784</v>
      </c>
    </row>
    <row r="192" spans="3:14" ht="29" x14ac:dyDescent="0.35">
      <c r="C192" s="8" t="s">
        <v>149</v>
      </c>
      <c r="F192" s="13" t="s">
        <v>352</v>
      </c>
      <c r="G192" s="13" t="str">
        <f>Crown!M27</f>
        <v>MBR</v>
      </c>
      <c r="H192" s="13">
        <f>Crown!N27</f>
        <v>150</v>
      </c>
      <c r="I192" s="18" t="s">
        <v>778</v>
      </c>
      <c r="J192" s="13" t="s">
        <v>780</v>
      </c>
      <c r="K192" s="13">
        <v>9789155544</v>
      </c>
      <c r="M192" s="8" t="s">
        <v>785</v>
      </c>
      <c r="N192" s="8" t="s">
        <v>786</v>
      </c>
    </row>
    <row r="193" spans="3:11" x14ac:dyDescent="0.35">
      <c r="C193" s="8" t="s">
        <v>150</v>
      </c>
      <c r="F193" s="13" t="s">
        <v>390</v>
      </c>
      <c r="G193" s="13" t="str">
        <f>Quay!M32</f>
        <v>MBBR</v>
      </c>
      <c r="H193" s="13">
        <f>Quay!N32</f>
        <v>350</v>
      </c>
      <c r="I193" s="18" t="s">
        <v>789</v>
      </c>
      <c r="J193" s="13" t="s">
        <v>787</v>
      </c>
      <c r="K193" s="13">
        <v>9742941400</v>
      </c>
    </row>
    <row r="194" spans="3:11" ht="29" x14ac:dyDescent="0.35">
      <c r="C194" s="8" t="s">
        <v>151</v>
      </c>
      <c r="F194" s="13" t="s">
        <v>620</v>
      </c>
      <c r="G194" s="13" t="str">
        <f>Lakeview!M28</f>
        <v>ASP</v>
      </c>
      <c r="H194" s="13">
        <f>Lakeview!N28</f>
        <v>250</v>
      </c>
      <c r="I194" s="18" t="s">
        <v>776</v>
      </c>
      <c r="J194" s="13" t="s">
        <v>779</v>
      </c>
      <c r="K194" s="13">
        <v>9886747287</v>
      </c>
    </row>
    <row r="195" spans="3:11" ht="29" x14ac:dyDescent="0.35">
      <c r="C195" s="8" t="s">
        <v>152</v>
      </c>
      <c r="F195" s="13" t="s">
        <v>453</v>
      </c>
      <c r="G195" s="13" t="str">
        <f>Olympia!M27</f>
        <v>ASP</v>
      </c>
      <c r="H195" s="13">
        <f>Olympia!N27</f>
        <v>100</v>
      </c>
      <c r="I195" s="18" t="s">
        <v>776</v>
      </c>
      <c r="J195" s="13" t="s">
        <v>779</v>
      </c>
      <c r="K195" s="13">
        <v>9886747287</v>
      </c>
    </row>
    <row r="196" spans="3:11" ht="29" x14ac:dyDescent="0.35">
      <c r="C196" s="8" t="s">
        <v>153</v>
      </c>
      <c r="F196" s="13" t="s">
        <v>743</v>
      </c>
      <c r="G196" s="13" t="str">
        <f>'Commerz-1'!M26</f>
        <v>MBR</v>
      </c>
      <c r="H196" s="13">
        <f>'Commerz-1'!N26</f>
        <v>150</v>
      </c>
      <c r="I196" s="18" t="s">
        <v>778</v>
      </c>
      <c r="J196" s="13" t="s">
        <v>780</v>
      </c>
      <c r="K196" s="13">
        <v>9789155544</v>
      </c>
    </row>
    <row r="197" spans="3:11" x14ac:dyDescent="0.35">
      <c r="C197" s="8" t="s">
        <v>154</v>
      </c>
      <c r="F197" s="13" t="s">
        <v>761</v>
      </c>
      <c r="G197" s="13" t="str">
        <f>'Commerz-2'!M28</f>
        <v>SBR</v>
      </c>
      <c r="H197" s="13">
        <f>'Commerz-2'!N28</f>
        <v>150</v>
      </c>
      <c r="I197" s="18" t="s">
        <v>788</v>
      </c>
      <c r="J197" s="13" t="s">
        <v>784</v>
      </c>
      <c r="K197" s="13">
        <v>9845018397</v>
      </c>
    </row>
    <row r="198" spans="3:11" ht="29" x14ac:dyDescent="0.35">
      <c r="C198" s="8" t="s">
        <v>155</v>
      </c>
      <c r="F198" s="13" t="s">
        <v>580</v>
      </c>
      <c r="G198" s="13" t="str">
        <f>Parin!M28</f>
        <v>MBR</v>
      </c>
      <c r="H198" s="13">
        <f>Parin!N28</f>
        <v>200</v>
      </c>
      <c r="I198" s="18" t="s">
        <v>778</v>
      </c>
      <c r="J198" s="13" t="s">
        <v>780</v>
      </c>
      <c r="K198" s="13">
        <v>9789155544</v>
      </c>
    </row>
    <row r="199" spans="3:11" ht="29" x14ac:dyDescent="0.35">
      <c r="C199" s="8" t="s">
        <v>156</v>
      </c>
    </row>
  </sheetData>
  <mergeCells count="18">
    <mergeCell ref="A158:L159"/>
    <mergeCell ref="A119:J119"/>
    <mergeCell ref="A45:B45"/>
    <mergeCell ref="A93:F93"/>
    <mergeCell ref="A51:D51"/>
    <mergeCell ref="A135:D135"/>
    <mergeCell ref="A79:D79"/>
    <mergeCell ref="A73:D73"/>
    <mergeCell ref="A117:F117"/>
    <mergeCell ref="H96:K96"/>
    <mergeCell ref="H98:I98"/>
    <mergeCell ref="J97:J98"/>
    <mergeCell ref="K97:K98"/>
    <mergeCell ref="A1:L2"/>
    <mergeCell ref="A35:L35"/>
    <mergeCell ref="A39:B39"/>
    <mergeCell ref="A13:E13"/>
    <mergeCell ref="G31:G32"/>
  </mergeCells>
  <hyperlinks>
    <hyperlink ref="C145" r:id="rId1" display="mailto:prateekseth@google.com" xr:uid="{00000000-0004-0000-0300-000000000000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33"/>
  <sheetViews>
    <sheetView topLeftCell="G1" workbookViewId="0">
      <selection activeCell="C9" sqref="C9"/>
    </sheetView>
  </sheetViews>
  <sheetFormatPr defaultColWidth="24.1796875" defaultRowHeight="14.5" x14ac:dyDescent="0.35"/>
  <cols>
    <col min="1" max="1" width="31" style="8" customWidth="1"/>
    <col min="2" max="2" width="24.1796875" style="8"/>
    <col min="3" max="3" width="39.1796875" style="8" bestFit="1" customWidth="1"/>
    <col min="4" max="4" width="40" style="8" customWidth="1"/>
    <col min="5" max="5" width="20.54296875" style="8" bestFit="1" customWidth="1"/>
    <col min="6" max="6" width="24.81640625" style="8" bestFit="1" customWidth="1"/>
    <col min="7" max="7" width="18.54296875" style="8" bestFit="1" customWidth="1"/>
    <col min="8" max="8" width="28.453125" style="8" bestFit="1" customWidth="1"/>
    <col min="9" max="16384" width="24.1796875" style="8"/>
  </cols>
  <sheetData>
    <row r="1" spans="1:12" s="4" customFormat="1" x14ac:dyDescent="0.35">
      <c r="A1" s="156" t="s">
        <v>87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</row>
    <row r="2" spans="1:12" s="4" customFormat="1" x14ac:dyDescent="0.35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</row>
    <row r="3" spans="1:12" s="4" customFormat="1" x14ac:dyDescent="0.35">
      <c r="A3" s="5" t="s">
        <v>86</v>
      </c>
      <c r="B3" s="5" t="s">
        <v>1</v>
      </c>
      <c r="C3" s="5" t="s">
        <v>0</v>
      </c>
      <c r="D3" s="5" t="s">
        <v>107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</row>
    <row r="4" spans="1:12" ht="29" x14ac:dyDescent="0.35">
      <c r="A4" s="18">
        <v>1</v>
      </c>
      <c r="B4" s="18" t="s">
        <v>348</v>
      </c>
      <c r="C4" s="18" t="s">
        <v>88</v>
      </c>
      <c r="D4" s="19" t="s">
        <v>349</v>
      </c>
      <c r="E4" s="18" t="s">
        <v>88</v>
      </c>
      <c r="F4" s="18" t="s">
        <v>110</v>
      </c>
      <c r="G4" s="18" t="s">
        <v>186</v>
      </c>
      <c r="H4" s="3" t="s">
        <v>350</v>
      </c>
      <c r="I4" s="18" t="s">
        <v>89</v>
      </c>
      <c r="J4" s="3" t="s">
        <v>90</v>
      </c>
      <c r="K4" s="18" t="s">
        <v>351</v>
      </c>
      <c r="L4" s="20">
        <v>1</v>
      </c>
    </row>
    <row r="5" spans="1:12" x14ac:dyDescent="0.3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x14ac:dyDescent="0.35">
      <c r="G6" s="21"/>
      <c r="H6" s="21"/>
      <c r="I6" s="21"/>
      <c r="J6" s="21"/>
      <c r="K6" s="21"/>
      <c r="L6" s="21"/>
    </row>
    <row r="8" spans="1:12" ht="29" x14ac:dyDescent="0.35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704</v>
      </c>
      <c r="G8" s="5" t="s">
        <v>705</v>
      </c>
      <c r="H8" s="5" t="s">
        <v>17</v>
      </c>
      <c r="I8" s="5" t="s">
        <v>18</v>
      </c>
      <c r="J8" s="5" t="s">
        <v>19</v>
      </c>
      <c r="K8" s="5" t="s">
        <v>20</v>
      </c>
    </row>
    <row r="9" spans="1:12" x14ac:dyDescent="0.35">
      <c r="A9" s="6" t="s">
        <v>352</v>
      </c>
      <c r="B9" s="6" t="s">
        <v>91</v>
      </c>
      <c r="C9" s="6" t="s">
        <v>353</v>
      </c>
      <c r="D9" s="7">
        <v>290709.13</v>
      </c>
      <c r="E9" s="7">
        <v>290709.13</v>
      </c>
      <c r="F9" s="7">
        <v>15096.28</v>
      </c>
      <c r="G9" s="7">
        <v>148706.21</v>
      </c>
      <c r="H9" s="15">
        <v>2004</v>
      </c>
      <c r="I9" s="15">
        <v>2006</v>
      </c>
      <c r="J9" s="15">
        <v>2007</v>
      </c>
      <c r="K9" s="15">
        <v>2007</v>
      </c>
    </row>
    <row r="13" spans="1:12" x14ac:dyDescent="0.35">
      <c r="A13" s="156" t="s">
        <v>93</v>
      </c>
      <c r="B13" s="156"/>
      <c r="C13" s="156"/>
      <c r="D13" s="156"/>
      <c r="E13" s="156"/>
    </row>
    <row r="14" spans="1:12" x14ac:dyDescent="0.35">
      <c r="A14" s="5" t="s">
        <v>10</v>
      </c>
      <c r="B14" s="5" t="s">
        <v>21</v>
      </c>
      <c r="C14" s="5" t="s">
        <v>22</v>
      </c>
      <c r="D14" s="5" t="s">
        <v>23</v>
      </c>
      <c r="E14" s="5" t="s">
        <v>24</v>
      </c>
      <c r="G14" s="30" t="s">
        <v>177</v>
      </c>
    </row>
    <row r="15" spans="1:12" x14ac:dyDescent="0.35">
      <c r="A15" s="2" t="s">
        <v>354</v>
      </c>
      <c r="B15" s="2" t="s">
        <v>94</v>
      </c>
      <c r="C15" s="2" t="s">
        <v>279</v>
      </c>
      <c r="D15" s="67">
        <v>25643.71</v>
      </c>
      <c r="E15" s="3" t="s">
        <v>355</v>
      </c>
      <c r="F15" s="9"/>
      <c r="G15" s="2" t="s">
        <v>356</v>
      </c>
    </row>
    <row r="16" spans="1:12" x14ac:dyDescent="0.35">
      <c r="A16" s="2" t="s">
        <v>357</v>
      </c>
      <c r="B16" s="2" t="s">
        <v>94</v>
      </c>
      <c r="C16" s="2" t="s">
        <v>280</v>
      </c>
      <c r="D16" s="67">
        <v>7087.59</v>
      </c>
      <c r="E16" s="3" t="s">
        <v>355</v>
      </c>
      <c r="F16" s="9"/>
      <c r="G16" s="2" t="s">
        <v>358</v>
      </c>
    </row>
    <row r="17" spans="1:14" x14ac:dyDescent="0.35">
      <c r="A17" s="2" t="s">
        <v>359</v>
      </c>
      <c r="B17" s="2" t="s">
        <v>94</v>
      </c>
      <c r="C17" s="2" t="s">
        <v>281</v>
      </c>
      <c r="D17" s="67">
        <v>45969.67</v>
      </c>
      <c r="E17" s="3" t="s">
        <v>355</v>
      </c>
      <c r="F17" s="9"/>
      <c r="G17" s="2" t="s">
        <v>360</v>
      </c>
    </row>
    <row r="18" spans="1:14" x14ac:dyDescent="0.35">
      <c r="A18" s="2" t="s">
        <v>120</v>
      </c>
      <c r="B18" s="2" t="s">
        <v>94</v>
      </c>
      <c r="C18" s="2" t="s">
        <v>282</v>
      </c>
      <c r="D18" s="67">
        <v>35881.1</v>
      </c>
      <c r="E18" s="3" t="s">
        <v>355</v>
      </c>
      <c r="F18" s="9"/>
      <c r="G18" s="2" t="s">
        <v>361</v>
      </c>
    </row>
    <row r="19" spans="1:14" x14ac:dyDescent="0.35">
      <c r="A19" s="2" t="s">
        <v>120</v>
      </c>
      <c r="B19" s="2" t="s">
        <v>94</v>
      </c>
      <c r="C19" s="2" t="s">
        <v>287</v>
      </c>
      <c r="D19" s="67">
        <v>35881.1</v>
      </c>
      <c r="E19" s="3" t="s">
        <v>355</v>
      </c>
      <c r="F19" s="9"/>
      <c r="G19" s="2" t="s">
        <v>362</v>
      </c>
    </row>
    <row r="20" spans="1:14" ht="14.25" customHeight="1" x14ac:dyDescent="0.35">
      <c r="A20" s="2" t="s">
        <v>120</v>
      </c>
      <c r="B20" s="2" t="s">
        <v>94</v>
      </c>
      <c r="C20" s="2" t="s">
        <v>288</v>
      </c>
      <c r="D20" s="67">
        <v>35881.1</v>
      </c>
      <c r="E20" s="3" t="s">
        <v>355</v>
      </c>
      <c r="F20" s="9"/>
      <c r="G20" s="2" t="s">
        <v>362</v>
      </c>
    </row>
    <row r="21" spans="1:14" x14ac:dyDescent="0.35">
      <c r="A21" s="2" t="s">
        <v>363</v>
      </c>
      <c r="B21" s="2" t="s">
        <v>94</v>
      </c>
      <c r="C21" s="2" t="s">
        <v>289</v>
      </c>
      <c r="D21" s="67">
        <v>32602.62</v>
      </c>
      <c r="E21" s="3" t="s">
        <v>355</v>
      </c>
      <c r="F21" s="9"/>
      <c r="G21" s="2" t="s">
        <v>362</v>
      </c>
    </row>
    <row r="22" spans="1:14" x14ac:dyDescent="0.35">
      <c r="A22" s="2" t="s">
        <v>120</v>
      </c>
      <c r="B22" s="2" t="s">
        <v>94</v>
      </c>
      <c r="C22" s="2" t="s">
        <v>290</v>
      </c>
      <c r="D22" s="67">
        <v>35881.1</v>
      </c>
      <c r="E22" s="3" t="s">
        <v>355</v>
      </c>
      <c r="F22" s="9"/>
      <c r="G22" s="2" t="s">
        <v>362</v>
      </c>
    </row>
    <row r="23" spans="1:14" x14ac:dyDescent="0.35">
      <c r="A23" s="2" t="s">
        <v>120</v>
      </c>
      <c r="B23" s="2" t="s">
        <v>94</v>
      </c>
      <c r="C23" s="2" t="s">
        <v>291</v>
      </c>
      <c r="D23" s="67">
        <v>35881.1</v>
      </c>
      <c r="E23" s="3" t="s">
        <v>355</v>
      </c>
      <c r="F23" s="9"/>
      <c r="G23" s="2" t="s">
        <v>362</v>
      </c>
    </row>
    <row r="25" spans="1:14" x14ac:dyDescent="0.35">
      <c r="A25" s="156" t="s">
        <v>103</v>
      </c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</row>
    <row r="26" spans="1:14" ht="15" customHeight="1" x14ac:dyDescent="0.35">
      <c r="A26" s="5" t="s">
        <v>72</v>
      </c>
      <c r="B26" s="5" t="s">
        <v>73</v>
      </c>
      <c r="C26" s="5" t="s">
        <v>169</v>
      </c>
      <c r="D26" s="5" t="s">
        <v>167</v>
      </c>
      <c r="E26" s="5" t="s">
        <v>168</v>
      </c>
      <c r="F26" s="5" t="s">
        <v>74</v>
      </c>
      <c r="G26" s="5" t="s">
        <v>75</v>
      </c>
      <c r="H26" s="5" t="s">
        <v>126</v>
      </c>
      <c r="I26" s="5" t="s">
        <v>125</v>
      </c>
      <c r="J26" s="5" t="s">
        <v>122</v>
      </c>
      <c r="K26" s="5" t="s">
        <v>123</v>
      </c>
      <c r="L26" s="5" t="s">
        <v>124</v>
      </c>
      <c r="M26" s="5" t="s">
        <v>76</v>
      </c>
      <c r="N26" s="5" t="s">
        <v>77</v>
      </c>
    </row>
    <row r="27" spans="1:14" x14ac:dyDescent="0.35">
      <c r="A27" s="6" t="s">
        <v>364</v>
      </c>
      <c r="B27" s="13">
        <v>2</v>
      </c>
      <c r="C27" s="13">
        <v>47</v>
      </c>
      <c r="D27" s="13">
        <v>58</v>
      </c>
      <c r="E27" s="28">
        <v>12</v>
      </c>
      <c r="F27" s="6" t="s">
        <v>365</v>
      </c>
      <c r="G27" s="14" t="s">
        <v>127</v>
      </c>
      <c r="H27" s="6">
        <v>2690</v>
      </c>
      <c r="I27" s="6">
        <v>2690</v>
      </c>
      <c r="J27" s="6">
        <v>2690</v>
      </c>
      <c r="K27" s="6">
        <v>1178</v>
      </c>
      <c r="L27" s="6">
        <v>2421</v>
      </c>
      <c r="M27" s="41" t="s">
        <v>296</v>
      </c>
      <c r="N27" s="41">
        <v>150</v>
      </c>
    </row>
    <row r="28" spans="1:14" x14ac:dyDescent="0.35">
      <c r="A28" s="6"/>
      <c r="B28" s="13"/>
      <c r="C28" s="13"/>
      <c r="D28" s="13"/>
      <c r="E28" s="28"/>
      <c r="F28" s="6"/>
      <c r="G28" s="14"/>
      <c r="H28" s="6"/>
      <c r="I28" s="6"/>
      <c r="J28" s="6"/>
      <c r="K28" s="6"/>
      <c r="L28" s="6"/>
      <c r="M28" s="27"/>
      <c r="N28" s="27"/>
    </row>
    <row r="30" spans="1:14" x14ac:dyDescent="0.35">
      <c r="A30" s="156" t="s">
        <v>104</v>
      </c>
      <c r="B30" s="156"/>
    </row>
    <row r="31" spans="1:14" x14ac:dyDescent="0.35">
      <c r="A31" s="5" t="s">
        <v>78</v>
      </c>
      <c r="B31" s="5" t="s">
        <v>79</v>
      </c>
    </row>
    <row r="32" spans="1:14" x14ac:dyDescent="0.35">
      <c r="A32" s="2" t="s">
        <v>366</v>
      </c>
      <c r="B32" s="13">
        <v>375</v>
      </c>
    </row>
    <row r="33" spans="1:6" x14ac:dyDescent="0.35">
      <c r="A33" s="2" t="s">
        <v>367</v>
      </c>
      <c r="B33" s="13">
        <v>250</v>
      </c>
    </row>
    <row r="36" spans="1:6" x14ac:dyDescent="0.35">
      <c r="A36" s="156" t="s">
        <v>298</v>
      </c>
      <c r="B36" s="156"/>
    </row>
    <row r="37" spans="1:6" x14ac:dyDescent="0.35">
      <c r="A37" s="5" t="s">
        <v>80</v>
      </c>
      <c r="B37" s="5" t="s">
        <v>81</v>
      </c>
    </row>
    <row r="38" spans="1:6" x14ac:dyDescent="0.35">
      <c r="A38" s="2" t="s">
        <v>128</v>
      </c>
      <c r="B38" s="13">
        <v>30</v>
      </c>
    </row>
    <row r="39" spans="1:6" x14ac:dyDescent="0.35">
      <c r="A39" s="2" t="s">
        <v>129</v>
      </c>
      <c r="B39" s="13">
        <v>50</v>
      </c>
    </row>
    <row r="40" spans="1:6" x14ac:dyDescent="0.35">
      <c r="A40" s="6" t="s">
        <v>106</v>
      </c>
      <c r="B40" s="13">
        <v>150</v>
      </c>
    </row>
    <row r="42" spans="1:6" x14ac:dyDescent="0.35">
      <c r="A42" s="156" t="s">
        <v>105</v>
      </c>
      <c r="B42" s="156"/>
      <c r="C42" s="156"/>
      <c r="D42" s="156"/>
    </row>
    <row r="43" spans="1:6" s="23" customFormat="1" x14ac:dyDescent="0.35">
      <c r="A43" s="10" t="s">
        <v>82</v>
      </c>
      <c r="B43" s="10" t="s">
        <v>83</v>
      </c>
      <c r="C43" s="10" t="s">
        <v>84</v>
      </c>
      <c r="D43" s="10" t="s">
        <v>85</v>
      </c>
      <c r="F43" s="8"/>
    </row>
    <row r="44" spans="1:6" x14ac:dyDescent="0.35">
      <c r="A44" s="6" t="s">
        <v>130</v>
      </c>
      <c r="B44" s="6" t="s">
        <v>368</v>
      </c>
      <c r="C44" s="13">
        <v>200</v>
      </c>
      <c r="D44" s="22">
        <f>C44*35.3146</f>
        <v>7062.92</v>
      </c>
    </row>
    <row r="45" spans="1:6" x14ac:dyDescent="0.35">
      <c r="A45" s="6" t="s">
        <v>369</v>
      </c>
      <c r="B45" s="6" t="s">
        <v>368</v>
      </c>
      <c r="C45" s="13">
        <v>50</v>
      </c>
      <c r="D45" s="22">
        <f>C45*35.3146</f>
        <v>1765.73</v>
      </c>
    </row>
    <row r="46" spans="1:6" x14ac:dyDescent="0.35">
      <c r="A46" s="6" t="s">
        <v>133</v>
      </c>
      <c r="B46" s="6" t="s">
        <v>368</v>
      </c>
      <c r="C46" s="13">
        <v>60</v>
      </c>
      <c r="D46" s="22">
        <f t="shared" ref="D46:D59" si="0">C46*35.3146</f>
        <v>2118.8759999999997</v>
      </c>
    </row>
    <row r="47" spans="1:6" x14ac:dyDescent="0.35">
      <c r="A47" s="2" t="s">
        <v>134</v>
      </c>
      <c r="B47" s="6" t="s">
        <v>368</v>
      </c>
      <c r="C47" s="13">
        <v>60</v>
      </c>
      <c r="D47" s="22">
        <f t="shared" si="0"/>
        <v>2118.8759999999997</v>
      </c>
    </row>
    <row r="48" spans="1:6" x14ac:dyDescent="0.35">
      <c r="A48" s="6" t="s">
        <v>130</v>
      </c>
      <c r="B48" s="6" t="s">
        <v>135</v>
      </c>
      <c r="C48" s="13">
        <v>30</v>
      </c>
      <c r="D48" s="22">
        <f t="shared" si="0"/>
        <v>1059.4379999999999</v>
      </c>
    </row>
    <row r="49" spans="1:10" x14ac:dyDescent="0.35">
      <c r="A49" s="2" t="s">
        <v>157</v>
      </c>
      <c r="B49" s="6" t="s">
        <v>135</v>
      </c>
      <c r="C49" s="13">
        <v>30</v>
      </c>
      <c r="D49" s="22">
        <f t="shared" si="0"/>
        <v>1059.4379999999999</v>
      </c>
    </row>
    <row r="50" spans="1:10" x14ac:dyDescent="0.35">
      <c r="A50" s="2" t="s">
        <v>158</v>
      </c>
      <c r="B50" s="6" t="s">
        <v>135</v>
      </c>
      <c r="C50" s="13">
        <v>30</v>
      </c>
      <c r="D50" s="22">
        <f t="shared" si="0"/>
        <v>1059.4379999999999</v>
      </c>
    </row>
    <row r="51" spans="1:10" x14ac:dyDescent="0.35">
      <c r="A51" s="2" t="s">
        <v>370</v>
      </c>
      <c r="B51" s="6" t="s">
        <v>135</v>
      </c>
      <c r="C51" s="13">
        <v>30</v>
      </c>
      <c r="D51" s="22">
        <f t="shared" si="0"/>
        <v>1059.4379999999999</v>
      </c>
    </row>
    <row r="52" spans="1:10" x14ac:dyDescent="0.35">
      <c r="A52" s="2" t="s">
        <v>371</v>
      </c>
      <c r="B52" s="6" t="s">
        <v>135</v>
      </c>
      <c r="C52" s="13">
        <v>30</v>
      </c>
      <c r="D52" s="22">
        <f t="shared" si="0"/>
        <v>1059.4379999999999</v>
      </c>
    </row>
    <row r="53" spans="1:10" x14ac:dyDescent="0.35">
      <c r="A53" s="2" t="s">
        <v>372</v>
      </c>
      <c r="B53" s="6" t="s">
        <v>135</v>
      </c>
      <c r="C53" s="13">
        <v>30</v>
      </c>
      <c r="D53" s="22">
        <f t="shared" si="0"/>
        <v>1059.4379999999999</v>
      </c>
    </row>
    <row r="54" spans="1:10" x14ac:dyDescent="0.35">
      <c r="A54" s="2" t="s">
        <v>373</v>
      </c>
      <c r="B54" s="6" t="s">
        <v>135</v>
      </c>
      <c r="C54" s="13">
        <v>30</v>
      </c>
      <c r="D54" s="22">
        <f t="shared" si="0"/>
        <v>1059.4379999999999</v>
      </c>
    </row>
    <row r="55" spans="1:10" x14ac:dyDescent="0.35">
      <c r="A55" s="2" t="s">
        <v>316</v>
      </c>
      <c r="B55" s="6" t="s">
        <v>368</v>
      </c>
      <c r="C55" s="13">
        <v>30</v>
      </c>
      <c r="D55" s="22">
        <f t="shared" si="0"/>
        <v>1059.4379999999999</v>
      </c>
    </row>
    <row r="56" spans="1:10" x14ac:dyDescent="0.35">
      <c r="A56" s="2" t="s">
        <v>374</v>
      </c>
      <c r="B56" s="6" t="s">
        <v>368</v>
      </c>
      <c r="C56" s="13">
        <v>13.12</v>
      </c>
      <c r="D56" s="22">
        <f t="shared" si="0"/>
        <v>463.32755199999997</v>
      </c>
    </row>
    <row r="57" spans="1:10" x14ac:dyDescent="0.35">
      <c r="A57" s="2" t="s">
        <v>375</v>
      </c>
      <c r="B57" s="6" t="s">
        <v>368</v>
      </c>
      <c r="C57" s="13">
        <v>25</v>
      </c>
      <c r="D57" s="22">
        <f t="shared" si="0"/>
        <v>882.86500000000001</v>
      </c>
    </row>
    <row r="58" spans="1:10" x14ac:dyDescent="0.35">
      <c r="A58" s="2" t="s">
        <v>376</v>
      </c>
      <c r="B58" s="6" t="s">
        <v>368</v>
      </c>
      <c r="C58" s="13">
        <v>19.3</v>
      </c>
      <c r="D58" s="22">
        <f t="shared" si="0"/>
        <v>681.57177999999999</v>
      </c>
    </row>
    <row r="59" spans="1:10" x14ac:dyDescent="0.35">
      <c r="A59" s="2" t="s">
        <v>377</v>
      </c>
      <c r="B59" s="6" t="s">
        <v>368</v>
      </c>
      <c r="C59" s="13">
        <v>65.8</v>
      </c>
      <c r="D59" s="22">
        <f t="shared" si="0"/>
        <v>2323.7006799999999</v>
      </c>
    </row>
    <row r="60" spans="1:10" x14ac:dyDescent="0.35">
      <c r="A60" s="2"/>
      <c r="B60" s="6"/>
      <c r="C60" s="13"/>
      <c r="D60" s="22"/>
    </row>
    <row r="61" spans="1:10" x14ac:dyDescent="0.35">
      <c r="A61" s="2"/>
      <c r="B61" s="6"/>
      <c r="C61" s="13"/>
      <c r="D61" s="22"/>
    </row>
    <row r="63" spans="1:10" x14ac:dyDescent="0.35">
      <c r="A63" s="163" t="s">
        <v>92</v>
      </c>
      <c r="B63" s="164"/>
      <c r="C63" s="164"/>
      <c r="D63" s="165"/>
      <c r="E63" s="10"/>
      <c r="F63" s="10"/>
      <c r="G63" s="10"/>
      <c r="H63" s="10"/>
      <c r="I63" s="10"/>
      <c r="J63" s="10"/>
    </row>
    <row r="64" spans="1:10" s="23" customFormat="1" x14ac:dyDescent="0.35">
      <c r="A64" s="10" t="s">
        <v>22</v>
      </c>
      <c r="B64" s="10" t="s">
        <v>30</v>
      </c>
      <c r="C64" s="10" t="s">
        <v>31</v>
      </c>
      <c r="D64" s="10" t="s">
        <v>32</v>
      </c>
      <c r="E64" s="10" t="s">
        <v>33</v>
      </c>
      <c r="F64" s="10" t="s">
        <v>34</v>
      </c>
      <c r="G64" s="10" t="s">
        <v>35</v>
      </c>
      <c r="H64" s="10" t="s">
        <v>36</v>
      </c>
      <c r="I64" s="10" t="s">
        <v>37</v>
      </c>
      <c r="J64" s="10" t="s">
        <v>38</v>
      </c>
    </row>
    <row r="65" spans="1:10" x14ac:dyDescent="0.35">
      <c r="A65" s="2" t="s">
        <v>284</v>
      </c>
      <c r="B65" s="15">
        <v>80</v>
      </c>
      <c r="C65" s="15">
        <v>80</v>
      </c>
      <c r="D65" s="15">
        <v>0</v>
      </c>
      <c r="E65" s="15">
        <v>28</v>
      </c>
      <c r="F65" s="15">
        <v>52</v>
      </c>
      <c r="G65" s="15">
        <v>0</v>
      </c>
      <c r="H65" s="15">
        <v>1</v>
      </c>
      <c r="I65" s="15">
        <v>6</v>
      </c>
      <c r="J65" s="15">
        <v>0</v>
      </c>
    </row>
    <row r="66" spans="1:10" x14ac:dyDescent="0.35">
      <c r="A66" s="2" t="s">
        <v>280</v>
      </c>
      <c r="B66" s="15">
        <v>107</v>
      </c>
      <c r="C66" s="15">
        <v>107</v>
      </c>
      <c r="D66" s="15">
        <v>0</v>
      </c>
      <c r="E66" s="15">
        <v>0</v>
      </c>
      <c r="F66" s="15">
        <v>107</v>
      </c>
      <c r="G66" s="15">
        <v>0</v>
      </c>
      <c r="H66" s="15">
        <v>0</v>
      </c>
      <c r="I66" s="15">
        <v>0</v>
      </c>
      <c r="J66" s="15">
        <v>4</v>
      </c>
    </row>
    <row r="67" spans="1:10" x14ac:dyDescent="0.35">
      <c r="A67" s="2" t="s">
        <v>378</v>
      </c>
      <c r="B67" s="15">
        <v>103</v>
      </c>
      <c r="C67" s="15">
        <v>103</v>
      </c>
      <c r="D67" s="15">
        <v>0</v>
      </c>
      <c r="E67" s="15">
        <v>0</v>
      </c>
      <c r="F67" s="15">
        <v>103</v>
      </c>
      <c r="G67" s="15">
        <v>0</v>
      </c>
      <c r="H67" s="15">
        <v>0</v>
      </c>
      <c r="I67" s="15">
        <v>0</v>
      </c>
      <c r="J67" s="15">
        <v>0</v>
      </c>
    </row>
    <row r="68" spans="1:10" x14ac:dyDescent="0.35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spans="1:10" x14ac:dyDescent="0.35">
      <c r="A69" s="163" t="s">
        <v>109</v>
      </c>
      <c r="B69" s="164"/>
      <c r="C69" s="164"/>
      <c r="D69" s="165"/>
      <c r="E69" s="10"/>
      <c r="F69" s="10"/>
      <c r="G69" s="10"/>
      <c r="H69" s="10"/>
      <c r="I69" s="10"/>
      <c r="J69" s="10"/>
    </row>
    <row r="70" spans="1:10" s="23" customFormat="1" x14ac:dyDescent="0.35">
      <c r="A70" s="10" t="s">
        <v>22</v>
      </c>
      <c r="B70" s="10" t="s">
        <v>30</v>
      </c>
      <c r="C70" s="10" t="s">
        <v>31</v>
      </c>
      <c r="D70" s="10" t="s">
        <v>32</v>
      </c>
      <c r="E70" s="10" t="s">
        <v>33</v>
      </c>
      <c r="F70" s="10" t="s">
        <v>34</v>
      </c>
      <c r="G70" s="10" t="s">
        <v>35</v>
      </c>
      <c r="H70" s="10" t="s">
        <v>36</v>
      </c>
      <c r="I70" s="10" t="s">
        <v>37</v>
      </c>
      <c r="J70" s="10" t="s">
        <v>38</v>
      </c>
    </row>
    <row r="71" spans="1:10" x14ac:dyDescent="0.35">
      <c r="A71" s="17">
        <v>0</v>
      </c>
      <c r="B71" s="13">
        <v>0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</row>
    <row r="72" spans="1:10" x14ac:dyDescent="0.35">
      <c r="A72" s="13">
        <v>0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</row>
    <row r="73" spans="1:10" x14ac:dyDescent="0.35">
      <c r="B73" s="6"/>
      <c r="C73" s="6"/>
      <c r="D73" s="6"/>
      <c r="E73" s="6"/>
      <c r="F73" s="6"/>
      <c r="G73" s="6"/>
      <c r="H73" s="6"/>
      <c r="I73" s="6"/>
      <c r="J73" s="6"/>
    </row>
    <row r="74" spans="1:10" s="23" customFormat="1" x14ac:dyDescent="0.35">
      <c r="B74" s="12" t="s">
        <v>25</v>
      </c>
      <c r="C74" s="10" t="s">
        <v>26</v>
      </c>
      <c r="D74" s="12" t="s">
        <v>27</v>
      </c>
      <c r="E74" s="10" t="s">
        <v>26</v>
      </c>
      <c r="F74" s="12" t="s">
        <v>28</v>
      </c>
      <c r="G74" s="10" t="s">
        <v>26</v>
      </c>
      <c r="H74" s="12" t="s">
        <v>29</v>
      </c>
      <c r="I74" s="10" t="s">
        <v>138</v>
      </c>
      <c r="J74" s="10" t="s">
        <v>26</v>
      </c>
    </row>
    <row r="75" spans="1:10" x14ac:dyDescent="0.35">
      <c r="A75" s="6" t="s">
        <v>352</v>
      </c>
      <c r="B75" s="6" t="s">
        <v>136</v>
      </c>
      <c r="C75" s="13">
        <v>4</v>
      </c>
      <c r="D75" s="6" t="s">
        <v>95</v>
      </c>
      <c r="E75" s="13">
        <v>2</v>
      </c>
      <c r="F75" s="2" t="s">
        <v>97</v>
      </c>
      <c r="G75" s="13">
        <v>1</v>
      </c>
      <c r="H75" s="7" t="s">
        <v>187</v>
      </c>
      <c r="I75" s="7" t="s">
        <v>187</v>
      </c>
      <c r="J75" s="7" t="s">
        <v>187</v>
      </c>
    </row>
    <row r="76" spans="1:10" x14ac:dyDescent="0.35">
      <c r="A76" s="6"/>
      <c r="B76" s="6"/>
      <c r="C76" s="6"/>
      <c r="D76" s="6" t="s">
        <v>161</v>
      </c>
      <c r="E76" s="13">
        <v>4</v>
      </c>
      <c r="F76" s="2" t="s">
        <v>98</v>
      </c>
      <c r="G76" s="13">
        <v>1</v>
      </c>
      <c r="H76" s="7" t="s">
        <v>187</v>
      </c>
      <c r="I76" s="7" t="s">
        <v>187</v>
      </c>
      <c r="J76" s="7" t="s">
        <v>187</v>
      </c>
    </row>
    <row r="77" spans="1:10" x14ac:dyDescent="0.35">
      <c r="A77" s="6"/>
      <c r="B77" s="6"/>
      <c r="C77" s="6"/>
      <c r="D77" s="2" t="s">
        <v>96</v>
      </c>
      <c r="E77" s="13">
        <v>2</v>
      </c>
      <c r="F77" s="2" t="s">
        <v>137</v>
      </c>
      <c r="G77" s="13">
        <v>0</v>
      </c>
      <c r="H77" s="7" t="s">
        <v>187</v>
      </c>
      <c r="I77" s="7" t="s">
        <v>187</v>
      </c>
      <c r="J77" s="7" t="s">
        <v>187</v>
      </c>
    </row>
    <row r="78" spans="1:10" x14ac:dyDescent="0.35">
      <c r="D78" s="2" t="s">
        <v>163</v>
      </c>
      <c r="E78" s="13">
        <v>6</v>
      </c>
      <c r="F78" s="2" t="s">
        <v>165</v>
      </c>
      <c r="G78" s="13">
        <v>1</v>
      </c>
      <c r="I78" s="23"/>
      <c r="J78" s="23"/>
    </row>
    <row r="79" spans="1:10" x14ac:dyDescent="0.35">
      <c r="D79" s="2" t="s">
        <v>164</v>
      </c>
      <c r="E79" s="13">
        <v>7</v>
      </c>
      <c r="F79" s="16" t="s">
        <v>166</v>
      </c>
      <c r="G79" s="15">
        <v>1</v>
      </c>
      <c r="I79" s="23"/>
      <c r="J79" s="23"/>
    </row>
    <row r="80" spans="1:10" x14ac:dyDescent="0.35">
      <c r="D80" s="2" t="s">
        <v>162</v>
      </c>
      <c r="E80" s="13">
        <v>3</v>
      </c>
      <c r="F80" s="29"/>
      <c r="G80" s="23"/>
      <c r="I80" s="23"/>
      <c r="J80" s="23"/>
    </row>
    <row r="81" spans="1:11" x14ac:dyDescent="0.35">
      <c r="D81" s="2" t="s">
        <v>170</v>
      </c>
      <c r="E81" s="13">
        <v>0</v>
      </c>
    </row>
    <row r="83" spans="1:11" x14ac:dyDescent="0.35">
      <c r="A83" s="166" t="s">
        <v>101</v>
      </c>
      <c r="B83" s="167"/>
      <c r="C83" s="167"/>
      <c r="D83" s="167"/>
      <c r="E83" s="167"/>
      <c r="F83" s="168"/>
    </row>
    <row r="84" spans="1:11" x14ac:dyDescent="0.35">
      <c r="A84" s="5" t="s">
        <v>10</v>
      </c>
      <c r="B84" s="5" t="s">
        <v>22</v>
      </c>
      <c r="C84" s="5" t="s">
        <v>24</v>
      </c>
      <c r="D84" s="5" t="s">
        <v>61</v>
      </c>
      <c r="E84" s="5" t="s">
        <v>62</v>
      </c>
      <c r="F84" s="5" t="s">
        <v>63</v>
      </c>
    </row>
    <row r="85" spans="1:11" x14ac:dyDescent="0.35">
      <c r="A85" s="2" t="s">
        <v>352</v>
      </c>
      <c r="B85" s="2" t="s">
        <v>279</v>
      </c>
      <c r="C85" s="1" t="s">
        <v>355</v>
      </c>
      <c r="D85" s="24"/>
      <c r="E85" s="25">
        <v>25643.71</v>
      </c>
      <c r="F85" s="25">
        <v>25643.71</v>
      </c>
    </row>
    <row r="86" spans="1:11" x14ac:dyDescent="0.35">
      <c r="A86" s="2" t="s">
        <v>352</v>
      </c>
      <c r="B86" s="2" t="s">
        <v>280</v>
      </c>
      <c r="C86" s="1" t="s">
        <v>355</v>
      </c>
      <c r="D86" s="25"/>
      <c r="E86" s="25">
        <v>7087.59</v>
      </c>
      <c r="F86" s="25">
        <v>7087.59</v>
      </c>
      <c r="H86" s="169"/>
      <c r="I86" s="169"/>
      <c r="J86" s="169"/>
      <c r="K86" s="169"/>
    </row>
    <row r="87" spans="1:11" x14ac:dyDescent="0.35">
      <c r="A87" s="2" t="s">
        <v>352</v>
      </c>
      <c r="B87" s="2" t="s">
        <v>281</v>
      </c>
      <c r="C87" s="1" t="s">
        <v>355</v>
      </c>
      <c r="D87" s="24"/>
      <c r="E87" s="25">
        <v>45969.67</v>
      </c>
      <c r="F87" s="25">
        <v>45969.67</v>
      </c>
      <c r="H87" s="42"/>
      <c r="I87" s="42"/>
      <c r="J87" s="178"/>
      <c r="K87" s="179"/>
    </row>
    <row r="88" spans="1:11" ht="15" customHeight="1" x14ac:dyDescent="0.35">
      <c r="A88" s="2" t="s">
        <v>352</v>
      </c>
      <c r="B88" s="2" t="s">
        <v>282</v>
      </c>
      <c r="C88" s="1" t="s">
        <v>355</v>
      </c>
      <c r="D88" s="24"/>
      <c r="E88" s="25">
        <v>35881.1</v>
      </c>
      <c r="F88" s="25">
        <v>35881.1</v>
      </c>
      <c r="H88" s="180"/>
      <c r="I88" s="180"/>
      <c r="J88" s="178"/>
      <c r="K88" s="179"/>
    </row>
    <row r="89" spans="1:11" x14ac:dyDescent="0.35">
      <c r="A89" s="2" t="s">
        <v>352</v>
      </c>
      <c r="B89" s="2" t="s">
        <v>287</v>
      </c>
      <c r="C89" s="1" t="s">
        <v>355</v>
      </c>
      <c r="D89" s="25"/>
      <c r="E89" s="25">
        <v>35881.1</v>
      </c>
      <c r="F89" s="25">
        <v>35881.1</v>
      </c>
      <c r="H89" s="42"/>
      <c r="I89" s="42"/>
      <c r="J89" s="43"/>
      <c r="K89" s="43"/>
    </row>
    <row r="90" spans="1:11" x14ac:dyDescent="0.35">
      <c r="A90" s="2" t="s">
        <v>352</v>
      </c>
      <c r="B90" s="2" t="s">
        <v>288</v>
      </c>
      <c r="C90" s="1" t="s">
        <v>355</v>
      </c>
      <c r="D90" s="25"/>
      <c r="E90" s="25">
        <v>35881.1</v>
      </c>
      <c r="F90" s="25">
        <v>35881.1</v>
      </c>
      <c r="G90" s="9"/>
      <c r="H90" s="44"/>
      <c r="I90" s="44"/>
      <c r="J90" s="45"/>
      <c r="K90" s="45"/>
    </row>
    <row r="91" spans="1:11" x14ac:dyDescent="0.35">
      <c r="A91" s="2" t="s">
        <v>352</v>
      </c>
      <c r="B91" s="2" t="s">
        <v>289</v>
      </c>
      <c r="C91" s="1" t="s">
        <v>355</v>
      </c>
      <c r="D91" s="24"/>
      <c r="E91" s="25">
        <v>32602.62</v>
      </c>
      <c r="F91" s="25">
        <v>32602.62</v>
      </c>
      <c r="G91" s="9"/>
      <c r="H91" s="44"/>
      <c r="I91" s="44"/>
      <c r="J91" s="45"/>
      <c r="K91" s="45"/>
    </row>
    <row r="92" spans="1:11" x14ac:dyDescent="0.35">
      <c r="A92" s="2" t="s">
        <v>352</v>
      </c>
      <c r="B92" s="2" t="s">
        <v>290</v>
      </c>
      <c r="C92" s="1" t="s">
        <v>355</v>
      </c>
      <c r="D92" s="24"/>
      <c r="E92" s="25">
        <v>35881.1</v>
      </c>
      <c r="F92" s="25">
        <v>35881.1</v>
      </c>
      <c r="G92" s="9"/>
      <c r="H92" s="44"/>
      <c r="I92" s="44"/>
      <c r="J92" s="45"/>
      <c r="K92" s="45"/>
    </row>
    <row r="93" spans="1:11" x14ac:dyDescent="0.35">
      <c r="A93" s="2" t="s">
        <v>352</v>
      </c>
      <c r="B93" s="2" t="s">
        <v>291</v>
      </c>
      <c r="C93" s="1" t="s">
        <v>355</v>
      </c>
      <c r="D93" s="24"/>
      <c r="E93" s="25">
        <v>35881.1</v>
      </c>
      <c r="F93" s="25">
        <v>35881.1</v>
      </c>
      <c r="G93" s="9"/>
      <c r="H93" s="44"/>
      <c r="I93" s="44"/>
      <c r="J93" s="45"/>
      <c r="K93" s="45"/>
    </row>
    <row r="94" spans="1:11" x14ac:dyDescent="0.35">
      <c r="A94" s="2"/>
      <c r="B94" s="2"/>
      <c r="C94" s="1"/>
      <c r="D94" s="24"/>
      <c r="E94" s="25"/>
      <c r="F94" s="25"/>
      <c r="G94" s="9"/>
      <c r="H94" s="44"/>
      <c r="I94" s="44"/>
      <c r="J94" s="45"/>
      <c r="K94" s="45"/>
    </row>
    <row r="95" spans="1:11" x14ac:dyDescent="0.35">
      <c r="A95" s="2"/>
      <c r="B95" s="2"/>
      <c r="C95" s="1"/>
      <c r="D95" s="24"/>
      <c r="E95" s="25"/>
      <c r="F95" s="25"/>
      <c r="G95" s="9"/>
      <c r="H95" s="44"/>
      <c r="I95" s="44"/>
      <c r="J95" s="45"/>
      <c r="K95" s="45"/>
    </row>
    <row r="96" spans="1:11" x14ac:dyDescent="0.35">
      <c r="A96" s="2"/>
      <c r="B96" s="2"/>
      <c r="C96" s="1"/>
      <c r="D96" s="24"/>
      <c r="E96" s="25"/>
      <c r="F96" s="25"/>
      <c r="G96" s="9"/>
      <c r="H96" s="44"/>
      <c r="I96" s="44"/>
      <c r="J96" s="45"/>
      <c r="K96" s="45"/>
    </row>
    <row r="97" spans="1:11" x14ac:dyDescent="0.35">
      <c r="A97" s="2"/>
      <c r="B97" s="2"/>
      <c r="C97" s="1"/>
      <c r="D97" s="24"/>
      <c r="E97" s="25"/>
      <c r="F97" s="25"/>
      <c r="G97" s="9"/>
      <c r="H97" s="44"/>
      <c r="I97" s="44"/>
      <c r="J97" s="45"/>
      <c r="K97" s="45"/>
    </row>
    <row r="98" spans="1:11" x14ac:dyDescent="0.35">
      <c r="A98" s="2"/>
      <c r="B98" s="2"/>
      <c r="C98" s="1"/>
      <c r="D98" s="24"/>
      <c r="E98" s="25"/>
      <c r="F98" s="25"/>
      <c r="G98" s="9"/>
      <c r="H98" s="44"/>
      <c r="I98" s="44"/>
      <c r="J98" s="45"/>
      <c r="K98" s="45"/>
    </row>
    <row r="99" spans="1:11" x14ac:dyDescent="0.35">
      <c r="A99" s="2"/>
      <c r="B99" s="2"/>
      <c r="C99" s="1"/>
      <c r="D99" s="24"/>
      <c r="E99" s="25"/>
      <c r="F99" s="25"/>
      <c r="G99" s="9"/>
      <c r="H99" s="44"/>
      <c r="I99" s="44"/>
      <c r="J99" s="45"/>
      <c r="K99" s="45"/>
    </row>
    <row r="100" spans="1:11" x14ac:dyDescent="0.35">
      <c r="A100" s="2"/>
      <c r="B100" s="2"/>
      <c r="C100" s="1"/>
      <c r="D100" s="24"/>
      <c r="E100" s="25"/>
      <c r="F100" s="25"/>
      <c r="G100" s="9"/>
      <c r="H100" s="44"/>
      <c r="I100" s="44"/>
      <c r="J100" s="45"/>
      <c r="K100" s="45"/>
    </row>
    <row r="101" spans="1:11" x14ac:dyDescent="0.35">
      <c r="A101" s="2"/>
      <c r="B101" s="2"/>
      <c r="C101" s="1"/>
      <c r="D101" s="24"/>
      <c r="E101" s="25"/>
      <c r="F101" s="25"/>
      <c r="G101" s="9"/>
      <c r="H101" s="44"/>
      <c r="I101" s="44"/>
      <c r="J101" s="45"/>
      <c r="K101" s="45"/>
    </row>
    <row r="102" spans="1:11" x14ac:dyDescent="0.35">
      <c r="A102" s="2"/>
      <c r="B102" s="2"/>
      <c r="C102" s="1"/>
      <c r="D102" s="24"/>
      <c r="E102" s="25"/>
      <c r="F102" s="25"/>
      <c r="H102" s="34"/>
    </row>
    <row r="103" spans="1:11" x14ac:dyDescent="0.35">
      <c r="A103" s="2"/>
      <c r="B103" s="2"/>
      <c r="C103" s="1"/>
      <c r="D103" s="24"/>
      <c r="E103" s="25"/>
      <c r="F103" s="25"/>
      <c r="H103" s="34"/>
    </row>
    <row r="104" spans="1:11" x14ac:dyDescent="0.35">
      <c r="A104" s="2"/>
      <c r="B104" s="2"/>
      <c r="C104" s="1"/>
      <c r="D104" s="24"/>
      <c r="E104" s="25"/>
      <c r="F104" s="25"/>
    </row>
    <row r="105" spans="1:11" x14ac:dyDescent="0.35">
      <c r="A105" s="2"/>
      <c r="B105" s="2"/>
      <c r="C105" s="1"/>
      <c r="D105" s="24"/>
      <c r="E105" s="25"/>
      <c r="F105" s="25"/>
    </row>
    <row r="107" spans="1:11" x14ac:dyDescent="0.35">
      <c r="A107" s="155" t="s">
        <v>108</v>
      </c>
      <c r="B107" s="155"/>
      <c r="C107" s="155"/>
      <c r="D107" s="155"/>
      <c r="E107" s="155"/>
      <c r="F107" s="155"/>
    </row>
    <row r="109" spans="1:11" x14ac:dyDescent="0.35">
      <c r="A109" s="156" t="s">
        <v>100</v>
      </c>
      <c r="B109" s="156"/>
      <c r="C109" s="156"/>
      <c r="D109" s="156"/>
      <c r="E109" s="156"/>
      <c r="F109" s="156"/>
      <c r="G109" s="156"/>
      <c r="H109" s="156"/>
      <c r="I109" s="156"/>
      <c r="J109" s="156"/>
    </row>
    <row r="110" spans="1:11" x14ac:dyDescent="0.35">
      <c r="A110" s="5" t="s">
        <v>51</v>
      </c>
      <c r="B110" s="5" t="s">
        <v>52</v>
      </c>
      <c r="C110" s="5" t="s">
        <v>53</v>
      </c>
      <c r="D110" s="5" t="s">
        <v>54</v>
      </c>
      <c r="E110" s="5" t="s">
        <v>55</v>
      </c>
      <c r="F110" s="5" t="s">
        <v>56</v>
      </c>
      <c r="G110" s="5" t="s">
        <v>57</v>
      </c>
      <c r="H110" s="5" t="s">
        <v>58</v>
      </c>
      <c r="I110" s="5" t="s">
        <v>59</v>
      </c>
      <c r="J110" s="5" t="s">
        <v>60</v>
      </c>
    </row>
    <row r="111" spans="1:11" x14ac:dyDescent="0.35">
      <c r="A111" s="6" t="s">
        <v>379</v>
      </c>
      <c r="B111" s="6" t="s">
        <v>379</v>
      </c>
      <c r="C111" s="15"/>
      <c r="D111" s="15"/>
      <c r="E111" s="15">
        <v>1107</v>
      </c>
      <c r="F111" s="15">
        <v>100</v>
      </c>
      <c r="G111" s="15">
        <f>E111+F111</f>
        <v>1207</v>
      </c>
      <c r="H111" s="15">
        <v>290</v>
      </c>
      <c r="I111" s="15">
        <v>0</v>
      </c>
      <c r="J111" s="15">
        <v>290</v>
      </c>
    </row>
    <row r="112" spans="1:11" x14ac:dyDescent="0.35">
      <c r="A112" s="6"/>
      <c r="B112" s="6"/>
      <c r="C112" s="13"/>
      <c r="D112" s="13"/>
      <c r="E112" s="13"/>
      <c r="F112" s="13"/>
      <c r="G112" s="13"/>
      <c r="H112" s="13"/>
      <c r="I112" s="13"/>
      <c r="J112" s="13"/>
    </row>
    <row r="113" spans="1:14" x14ac:dyDescent="0.35">
      <c r="N113" s="11"/>
    </row>
    <row r="114" spans="1:14" x14ac:dyDescent="0.35">
      <c r="A114" s="156" t="s">
        <v>102</v>
      </c>
      <c r="B114" s="156"/>
      <c r="C114" s="156"/>
      <c r="D114" s="156"/>
      <c r="N114" s="11"/>
    </row>
    <row r="115" spans="1:14" x14ac:dyDescent="0.35">
      <c r="A115" s="5" t="s">
        <v>68</v>
      </c>
      <c r="B115" s="5" t="s">
        <v>69</v>
      </c>
      <c r="C115" s="5" t="s">
        <v>70</v>
      </c>
      <c r="D115" s="5" t="s">
        <v>71</v>
      </c>
      <c r="N115" s="11"/>
    </row>
    <row r="116" spans="1:14" x14ac:dyDescent="0.35">
      <c r="A116" s="6" t="s">
        <v>178</v>
      </c>
      <c r="B116" s="13">
        <f>28+43+9</f>
        <v>80</v>
      </c>
      <c r="C116" s="6" t="s">
        <v>284</v>
      </c>
      <c r="D116" s="6" t="s">
        <v>380</v>
      </c>
      <c r="N116" s="11"/>
    </row>
    <row r="117" spans="1:14" x14ac:dyDescent="0.35">
      <c r="A117" s="6" t="s">
        <v>178</v>
      </c>
      <c r="B117" s="13">
        <v>107</v>
      </c>
      <c r="C117" s="6" t="s">
        <v>381</v>
      </c>
      <c r="D117" s="6" t="s">
        <v>380</v>
      </c>
      <c r="N117" s="11"/>
    </row>
    <row r="118" spans="1:14" x14ac:dyDescent="0.35">
      <c r="A118" s="6" t="s">
        <v>178</v>
      </c>
      <c r="B118" s="13">
        <v>103</v>
      </c>
      <c r="C118" s="6" t="s">
        <v>378</v>
      </c>
      <c r="D118" s="6" t="s">
        <v>380</v>
      </c>
      <c r="N118" s="11"/>
    </row>
    <row r="119" spans="1:14" x14ac:dyDescent="0.35">
      <c r="A119" s="6"/>
      <c r="B119" s="13"/>
      <c r="C119" s="6"/>
      <c r="D119" s="6"/>
      <c r="N119" s="11"/>
    </row>
    <row r="120" spans="1:14" x14ac:dyDescent="0.35">
      <c r="A120" s="6"/>
      <c r="B120" s="6"/>
      <c r="C120" s="6"/>
      <c r="D120" s="6"/>
      <c r="N120" s="11"/>
    </row>
    <row r="122" spans="1:14" x14ac:dyDescent="0.35">
      <c r="A122" s="6"/>
      <c r="B122" s="6"/>
      <c r="C122" s="6"/>
      <c r="D122" s="6"/>
      <c r="E122" s="6"/>
    </row>
    <row r="123" spans="1:14" x14ac:dyDescent="0.35">
      <c r="A123" s="5" t="s">
        <v>51</v>
      </c>
      <c r="B123" s="5" t="s">
        <v>64</v>
      </c>
      <c r="C123" s="5" t="s">
        <v>65</v>
      </c>
      <c r="D123" s="5" t="s">
        <v>66</v>
      </c>
      <c r="E123" s="5" t="s">
        <v>67</v>
      </c>
    </row>
    <row r="124" spans="1:14" x14ac:dyDescent="0.35">
      <c r="A124" s="7" t="s">
        <v>382</v>
      </c>
      <c r="B124" s="7" t="s">
        <v>383</v>
      </c>
      <c r="C124" s="46" t="s">
        <v>384</v>
      </c>
      <c r="D124" s="7">
        <v>9741165536</v>
      </c>
      <c r="E124" s="7" t="s">
        <v>385</v>
      </c>
    </row>
    <row r="125" spans="1:14" x14ac:dyDescent="0.35">
      <c r="A125" s="7"/>
      <c r="B125" s="7"/>
      <c r="C125" s="35"/>
      <c r="D125" s="7"/>
      <c r="E125" s="7"/>
    </row>
    <row r="128" spans="1:14" x14ac:dyDescent="0.35">
      <c r="A128" s="157" t="s">
        <v>99</v>
      </c>
      <c r="B128" s="158"/>
      <c r="C128" s="158"/>
      <c r="D128" s="158"/>
      <c r="E128" s="158"/>
      <c r="F128" s="158"/>
      <c r="G128" s="158"/>
      <c r="H128" s="158"/>
      <c r="I128" s="158"/>
      <c r="J128" s="158"/>
      <c r="K128" s="158"/>
      <c r="L128" s="159"/>
    </row>
    <row r="129" spans="1:12" x14ac:dyDescent="0.35">
      <c r="A129" s="160"/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2"/>
    </row>
    <row r="130" spans="1:12" x14ac:dyDescent="0.35">
      <c r="A130" s="5" t="s">
        <v>39</v>
      </c>
      <c r="B130" s="5" t="s">
        <v>40</v>
      </c>
      <c r="C130" s="5" t="s">
        <v>41</v>
      </c>
      <c r="D130" s="5" t="s">
        <v>42</v>
      </c>
      <c r="E130" s="5" t="s">
        <v>43</v>
      </c>
      <c r="F130" s="5" t="s">
        <v>44</v>
      </c>
      <c r="G130" s="5" t="s">
        <v>45</v>
      </c>
      <c r="H130" s="5" t="s">
        <v>46</v>
      </c>
      <c r="I130" s="5" t="s">
        <v>47</v>
      </c>
      <c r="J130" s="5" t="s">
        <v>48</v>
      </c>
      <c r="K130" s="5" t="s">
        <v>49</v>
      </c>
      <c r="L130" s="5" t="s">
        <v>50</v>
      </c>
    </row>
    <row r="131" spans="1:12" x14ac:dyDescent="0.35">
      <c r="A131" s="6" t="s">
        <v>115</v>
      </c>
      <c r="B131" s="6" t="s">
        <v>344</v>
      </c>
      <c r="C131" s="6" t="s">
        <v>386</v>
      </c>
      <c r="D131" s="7"/>
      <c r="E131" s="7" t="s">
        <v>179</v>
      </c>
      <c r="F131" s="6" t="s">
        <v>346</v>
      </c>
      <c r="G131" s="6" t="s">
        <v>116</v>
      </c>
      <c r="H131" s="6" t="s">
        <v>387</v>
      </c>
      <c r="I131" s="6" t="s">
        <v>388</v>
      </c>
      <c r="J131" s="6"/>
      <c r="K131" s="7" t="s">
        <v>389</v>
      </c>
      <c r="L131" s="6" t="s">
        <v>139</v>
      </c>
    </row>
    <row r="132" spans="1:12" x14ac:dyDescent="0.35">
      <c r="A132" s="6"/>
      <c r="B132" s="6"/>
      <c r="C132" s="6"/>
      <c r="D132" s="7"/>
      <c r="E132" s="7" t="s">
        <v>180</v>
      </c>
      <c r="F132" s="6"/>
      <c r="G132" s="6"/>
      <c r="H132" s="6"/>
      <c r="I132" s="6"/>
      <c r="J132" s="6"/>
      <c r="K132" s="7"/>
      <c r="L132" s="6"/>
    </row>
    <row r="133" spans="1:12" x14ac:dyDescent="0.35">
      <c r="A133" s="6"/>
      <c r="B133" s="6"/>
      <c r="C133" s="6"/>
      <c r="D133" s="7"/>
      <c r="E133" s="7" t="s">
        <v>181</v>
      </c>
      <c r="F133" s="6"/>
      <c r="G133" s="6"/>
      <c r="H133" s="6"/>
      <c r="I133" s="6"/>
      <c r="J133" s="6"/>
      <c r="K133" s="7"/>
      <c r="L133" s="6"/>
    </row>
  </sheetData>
  <mergeCells count="17">
    <mergeCell ref="A107:F107"/>
    <mergeCell ref="A109:J109"/>
    <mergeCell ref="A114:D114"/>
    <mergeCell ref="A128:L129"/>
    <mergeCell ref="A63:D63"/>
    <mergeCell ref="A69:D69"/>
    <mergeCell ref="A83:F83"/>
    <mergeCell ref="H86:K86"/>
    <mergeCell ref="J87:J88"/>
    <mergeCell ref="K87:K88"/>
    <mergeCell ref="H88:I88"/>
    <mergeCell ref="A42:D42"/>
    <mergeCell ref="A1:L2"/>
    <mergeCell ref="A13:E13"/>
    <mergeCell ref="A25:L25"/>
    <mergeCell ref="A30:B30"/>
    <mergeCell ref="A36:B36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31"/>
  <sheetViews>
    <sheetView topLeftCell="M18" workbookViewId="0">
      <selection activeCell="M32" sqref="M32"/>
    </sheetView>
  </sheetViews>
  <sheetFormatPr defaultColWidth="24.1796875" defaultRowHeight="14.5" x14ac:dyDescent="0.35"/>
  <cols>
    <col min="1" max="1" width="31" style="8" customWidth="1"/>
    <col min="2" max="2" width="24.1796875" style="23"/>
    <col min="3" max="3" width="41" style="8" bestFit="1" customWidth="1"/>
    <col min="4" max="4" width="40" style="8" customWidth="1"/>
    <col min="5" max="5" width="20.54296875" style="8" bestFit="1" customWidth="1"/>
    <col min="6" max="6" width="24.81640625" style="8" bestFit="1" customWidth="1"/>
    <col min="7" max="7" width="18.54296875" style="8" bestFit="1" customWidth="1"/>
    <col min="8" max="8" width="28.453125" style="8" bestFit="1" customWidth="1"/>
    <col min="9" max="16384" width="24.1796875" style="8"/>
  </cols>
  <sheetData>
    <row r="1" spans="1:12" s="4" customFormat="1" x14ac:dyDescent="0.35">
      <c r="A1" s="156" t="s">
        <v>87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</row>
    <row r="2" spans="1:12" s="4" customFormat="1" x14ac:dyDescent="0.35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</row>
    <row r="3" spans="1:12" s="4" customFormat="1" x14ac:dyDescent="0.35">
      <c r="A3" s="5" t="s">
        <v>86</v>
      </c>
      <c r="B3" s="10" t="s">
        <v>1</v>
      </c>
      <c r="C3" s="5" t="s">
        <v>0</v>
      </c>
      <c r="D3" s="5" t="s">
        <v>107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</row>
    <row r="4" spans="1:12" ht="72.5" x14ac:dyDescent="0.35">
      <c r="A4" s="18">
        <v>1</v>
      </c>
      <c r="B4" s="13" t="s">
        <v>390</v>
      </c>
      <c r="C4" s="18" t="s">
        <v>88</v>
      </c>
      <c r="D4" s="19" t="s">
        <v>391</v>
      </c>
      <c r="E4" s="18" t="s">
        <v>88</v>
      </c>
      <c r="F4" s="18" t="s">
        <v>110</v>
      </c>
      <c r="G4" s="18" t="s">
        <v>392</v>
      </c>
      <c r="H4" s="3" t="s">
        <v>393</v>
      </c>
      <c r="I4" s="18" t="s">
        <v>89</v>
      </c>
      <c r="J4" s="3" t="s">
        <v>90</v>
      </c>
      <c r="K4" s="18" t="s">
        <v>394</v>
      </c>
      <c r="L4" s="20">
        <v>1</v>
      </c>
    </row>
    <row r="5" spans="1:12" x14ac:dyDescent="0.35">
      <c r="A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x14ac:dyDescent="0.35">
      <c r="G6" s="21"/>
      <c r="H6" s="21"/>
      <c r="I6" s="21"/>
      <c r="J6" s="21"/>
      <c r="K6" s="21"/>
      <c r="L6" s="21"/>
    </row>
    <row r="8" spans="1:12" ht="29" x14ac:dyDescent="0.35">
      <c r="A8" s="5" t="s">
        <v>10</v>
      </c>
      <c r="B8" s="10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  <c r="I8" s="5" t="s">
        <v>18</v>
      </c>
      <c r="J8" s="5" t="s">
        <v>19</v>
      </c>
      <c r="K8" s="5" t="s">
        <v>20</v>
      </c>
    </row>
    <row r="9" spans="1:12" x14ac:dyDescent="0.35">
      <c r="A9" s="6" t="s">
        <v>390</v>
      </c>
      <c r="B9" s="13" t="s">
        <v>91</v>
      </c>
      <c r="C9" s="6" t="s">
        <v>395</v>
      </c>
      <c r="D9" s="7" t="s">
        <v>396</v>
      </c>
      <c r="E9" s="7" t="s">
        <v>397</v>
      </c>
      <c r="F9" s="7" t="s">
        <v>398</v>
      </c>
      <c r="G9" s="7" t="s">
        <v>399</v>
      </c>
      <c r="H9" s="15">
        <v>2018</v>
      </c>
      <c r="I9" s="15">
        <v>2020</v>
      </c>
      <c r="J9" s="15">
        <v>2020</v>
      </c>
      <c r="K9" s="15">
        <v>2021</v>
      </c>
    </row>
    <row r="10" spans="1:12" x14ac:dyDescent="0.35">
      <c r="D10" s="8">
        <f>10.764*850192.17</f>
        <v>9151468.5178800002</v>
      </c>
      <c r="E10" s="8">
        <f>10.764*61263</f>
        <v>659434.93199999991</v>
      </c>
    </row>
    <row r="13" spans="1:12" x14ac:dyDescent="0.35">
      <c r="A13" s="156" t="s">
        <v>93</v>
      </c>
      <c r="B13" s="156"/>
      <c r="C13" s="156"/>
      <c r="D13" s="156"/>
      <c r="E13" s="156"/>
    </row>
    <row r="14" spans="1:12" x14ac:dyDescent="0.35">
      <c r="A14" s="5" t="s">
        <v>10</v>
      </c>
      <c r="B14" s="10" t="s">
        <v>21</v>
      </c>
      <c r="C14" s="5" t="s">
        <v>22</v>
      </c>
      <c r="D14" s="5" t="s">
        <v>23</v>
      </c>
      <c r="E14" s="5" t="s">
        <v>24</v>
      </c>
      <c r="G14" s="30" t="s">
        <v>177</v>
      </c>
    </row>
    <row r="15" spans="1:12" x14ac:dyDescent="0.35">
      <c r="A15" s="2" t="s">
        <v>390</v>
      </c>
      <c r="B15" s="17" t="s">
        <v>94</v>
      </c>
      <c r="C15" s="2" t="s">
        <v>284</v>
      </c>
      <c r="D15" s="58">
        <v>25350</v>
      </c>
      <c r="E15" s="3"/>
      <c r="F15" s="9"/>
      <c r="G15" s="16" t="s">
        <v>400</v>
      </c>
    </row>
    <row r="16" spans="1:12" x14ac:dyDescent="0.35">
      <c r="A16" s="2" t="s">
        <v>390</v>
      </c>
      <c r="B16" s="17" t="s">
        <v>94</v>
      </c>
      <c r="C16" s="2" t="s">
        <v>280</v>
      </c>
      <c r="D16" s="58">
        <v>45684</v>
      </c>
      <c r="E16" s="3"/>
      <c r="F16" s="9"/>
      <c r="G16" s="16" t="s">
        <v>401</v>
      </c>
    </row>
    <row r="17" spans="1:14" x14ac:dyDescent="0.35">
      <c r="A17" s="2" t="s">
        <v>390</v>
      </c>
      <c r="B17" s="17" t="s">
        <v>94</v>
      </c>
      <c r="C17" s="2" t="s">
        <v>281</v>
      </c>
      <c r="D17" s="58">
        <v>74944</v>
      </c>
      <c r="E17" s="3"/>
      <c r="F17" s="9"/>
      <c r="G17" s="16" t="s">
        <v>402</v>
      </c>
    </row>
    <row r="18" spans="1:14" x14ac:dyDescent="0.35">
      <c r="A18" s="2" t="s">
        <v>390</v>
      </c>
      <c r="B18" s="17" t="s">
        <v>94</v>
      </c>
      <c r="C18" s="2" t="s">
        <v>282</v>
      </c>
      <c r="D18" s="58">
        <v>74865</v>
      </c>
      <c r="E18" s="3"/>
      <c r="F18" s="9"/>
      <c r="G18" s="16" t="s">
        <v>402</v>
      </c>
    </row>
    <row r="19" spans="1:14" x14ac:dyDescent="0.35">
      <c r="A19" s="2" t="s">
        <v>390</v>
      </c>
      <c r="B19" s="17" t="s">
        <v>94</v>
      </c>
      <c r="C19" s="2" t="s">
        <v>287</v>
      </c>
      <c r="D19" s="58">
        <v>74923.55</v>
      </c>
      <c r="E19" s="3"/>
      <c r="F19" s="9"/>
      <c r="G19" s="16" t="s">
        <v>402</v>
      </c>
    </row>
    <row r="20" spans="1:14" x14ac:dyDescent="0.35">
      <c r="A20" s="2" t="s">
        <v>390</v>
      </c>
      <c r="B20" s="17" t="s">
        <v>94</v>
      </c>
      <c r="C20" s="2" t="s">
        <v>288</v>
      </c>
      <c r="D20" s="58">
        <v>69954.53</v>
      </c>
      <c r="E20" s="3"/>
      <c r="F20" s="9"/>
      <c r="G20" s="16" t="s">
        <v>402</v>
      </c>
    </row>
    <row r="21" spans="1:14" x14ac:dyDescent="0.35">
      <c r="A21" s="2" t="s">
        <v>390</v>
      </c>
      <c r="B21" s="17" t="s">
        <v>94</v>
      </c>
      <c r="C21" s="2" t="s">
        <v>289</v>
      </c>
      <c r="D21" s="58">
        <v>74659.97</v>
      </c>
      <c r="E21" s="3"/>
      <c r="F21" s="9"/>
      <c r="G21" s="16" t="s">
        <v>402</v>
      </c>
    </row>
    <row r="22" spans="1:14" x14ac:dyDescent="0.35">
      <c r="A22" s="2" t="s">
        <v>390</v>
      </c>
      <c r="B22" s="17" t="s">
        <v>94</v>
      </c>
      <c r="C22" s="2" t="s">
        <v>290</v>
      </c>
      <c r="D22" s="58">
        <v>74660</v>
      </c>
      <c r="E22" s="3"/>
      <c r="F22" s="9"/>
      <c r="G22" s="16" t="s">
        <v>402</v>
      </c>
    </row>
    <row r="23" spans="1:14" x14ac:dyDescent="0.35">
      <c r="A23" s="2" t="s">
        <v>390</v>
      </c>
      <c r="B23" s="17" t="s">
        <v>94</v>
      </c>
      <c r="C23" s="2" t="s">
        <v>291</v>
      </c>
      <c r="D23" s="58">
        <v>69296</v>
      </c>
      <c r="E23" s="3"/>
      <c r="F23" s="9"/>
      <c r="G23" s="16" t="s">
        <v>402</v>
      </c>
    </row>
    <row r="24" spans="1:14" x14ac:dyDescent="0.35">
      <c r="A24" s="2" t="s">
        <v>390</v>
      </c>
      <c r="B24" s="17" t="s">
        <v>94</v>
      </c>
      <c r="C24" s="2" t="s">
        <v>403</v>
      </c>
      <c r="D24" s="58">
        <v>74848</v>
      </c>
      <c r="E24" s="3"/>
      <c r="F24" s="9"/>
      <c r="G24" s="16" t="s">
        <v>402</v>
      </c>
    </row>
    <row r="25" spans="1:14" x14ac:dyDescent="0.35">
      <c r="A25" s="2" t="s">
        <v>390</v>
      </c>
      <c r="B25" s="17" t="s">
        <v>94</v>
      </c>
      <c r="C25" s="2" t="s">
        <v>135</v>
      </c>
      <c r="D25" s="58">
        <v>12397.77</v>
      </c>
      <c r="E25" s="3"/>
      <c r="F25" s="9"/>
      <c r="G25" s="16" t="s">
        <v>404</v>
      </c>
    </row>
    <row r="26" spans="1:14" x14ac:dyDescent="0.35">
      <c r="A26" s="2" t="s">
        <v>390</v>
      </c>
      <c r="B26" s="17" t="s">
        <v>94</v>
      </c>
      <c r="C26" s="2" t="s">
        <v>405</v>
      </c>
      <c r="D26" s="72">
        <v>78418.880000000005</v>
      </c>
      <c r="E26" s="3"/>
      <c r="F26" s="9"/>
      <c r="G26" s="16" t="s">
        <v>406</v>
      </c>
    </row>
    <row r="27" spans="1:14" x14ac:dyDescent="0.35">
      <c r="A27" s="2" t="s">
        <v>390</v>
      </c>
      <c r="B27" s="17" t="s">
        <v>94</v>
      </c>
      <c r="C27" s="2" t="s">
        <v>131</v>
      </c>
      <c r="D27" s="72">
        <v>83142.52</v>
      </c>
      <c r="E27" s="3"/>
      <c r="F27" s="9"/>
      <c r="G27" s="16" t="s">
        <v>407</v>
      </c>
    </row>
    <row r="28" spans="1:14" x14ac:dyDescent="0.35">
      <c r="A28" s="2" t="s">
        <v>390</v>
      </c>
      <c r="B28" s="17" t="s">
        <v>94</v>
      </c>
      <c r="C28" s="2" t="s">
        <v>299</v>
      </c>
      <c r="D28" s="72">
        <v>83659</v>
      </c>
      <c r="E28" s="3"/>
      <c r="F28" s="9"/>
      <c r="G28" s="16" t="s">
        <v>408</v>
      </c>
    </row>
    <row r="30" spans="1:14" x14ac:dyDescent="0.35">
      <c r="A30" s="156" t="s">
        <v>103</v>
      </c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</row>
    <row r="31" spans="1:14" ht="15" customHeight="1" x14ac:dyDescent="0.35">
      <c r="A31" s="5" t="s">
        <v>72</v>
      </c>
      <c r="B31" s="10" t="s">
        <v>73</v>
      </c>
      <c r="C31" s="5" t="s">
        <v>169</v>
      </c>
      <c r="D31" s="5" t="s">
        <v>167</v>
      </c>
      <c r="E31" s="5" t="s">
        <v>168</v>
      </c>
      <c r="F31" s="5" t="s">
        <v>74</v>
      </c>
      <c r="G31" s="5" t="s">
        <v>75</v>
      </c>
      <c r="H31" s="5" t="s">
        <v>126</v>
      </c>
      <c r="I31" s="5" t="s">
        <v>125</v>
      </c>
      <c r="J31" s="5" t="s">
        <v>122</v>
      </c>
      <c r="K31" s="5" t="s">
        <v>123</v>
      </c>
      <c r="L31" s="5" t="s">
        <v>124</v>
      </c>
      <c r="M31" s="5" t="s">
        <v>76</v>
      </c>
      <c r="N31" s="5" t="s">
        <v>77</v>
      </c>
    </row>
    <row r="32" spans="1:14" x14ac:dyDescent="0.35">
      <c r="A32" s="6" t="s">
        <v>364</v>
      </c>
      <c r="B32" s="13">
        <v>2</v>
      </c>
      <c r="C32" s="13">
        <v>58</v>
      </c>
      <c r="D32" s="13">
        <v>27</v>
      </c>
      <c r="E32" s="28">
        <v>5</v>
      </c>
      <c r="F32" s="6" t="s">
        <v>409</v>
      </c>
      <c r="G32" s="14" t="s">
        <v>127</v>
      </c>
      <c r="H32" s="6">
        <v>5000</v>
      </c>
      <c r="I32" s="6">
        <v>5000</v>
      </c>
      <c r="J32" s="6">
        <v>5000</v>
      </c>
      <c r="K32" s="6">
        <v>2098</v>
      </c>
      <c r="L32" s="6">
        <v>4500</v>
      </c>
      <c r="M32" s="41" t="s">
        <v>410</v>
      </c>
      <c r="N32" s="41">
        <v>350</v>
      </c>
    </row>
    <row r="34" spans="1:6" x14ac:dyDescent="0.35">
      <c r="A34" s="156" t="s">
        <v>104</v>
      </c>
      <c r="B34" s="156"/>
    </row>
    <row r="35" spans="1:6" x14ac:dyDescent="0.35">
      <c r="A35" s="5" t="s">
        <v>78</v>
      </c>
      <c r="B35" s="10" t="s">
        <v>79</v>
      </c>
    </row>
    <row r="36" spans="1:6" x14ac:dyDescent="0.35">
      <c r="A36" s="2" t="s">
        <v>171</v>
      </c>
      <c r="B36" s="13">
        <v>700</v>
      </c>
    </row>
    <row r="37" spans="1:6" x14ac:dyDescent="0.35">
      <c r="A37" s="2" t="s">
        <v>367</v>
      </c>
      <c r="B37" s="13">
        <v>350</v>
      </c>
    </row>
    <row r="40" spans="1:6" x14ac:dyDescent="0.35">
      <c r="A40" s="156" t="s">
        <v>298</v>
      </c>
      <c r="B40" s="156"/>
    </row>
    <row r="41" spans="1:6" x14ac:dyDescent="0.35">
      <c r="A41" s="5" t="s">
        <v>80</v>
      </c>
      <c r="B41" s="10" t="s">
        <v>81</v>
      </c>
    </row>
    <row r="42" spans="1:6" x14ac:dyDescent="0.35">
      <c r="A42" s="2" t="s">
        <v>128</v>
      </c>
      <c r="B42" s="13">
        <v>44</v>
      </c>
    </row>
    <row r="43" spans="1:6" x14ac:dyDescent="0.35">
      <c r="A43" s="2" t="s">
        <v>129</v>
      </c>
      <c r="B43" s="15">
        <v>100</v>
      </c>
    </row>
    <row r="44" spans="1:6" x14ac:dyDescent="0.35">
      <c r="A44" s="6" t="s">
        <v>106</v>
      </c>
      <c r="B44" s="15">
        <v>140</v>
      </c>
    </row>
    <row r="46" spans="1:6" x14ac:dyDescent="0.35">
      <c r="A46" s="156" t="s">
        <v>105</v>
      </c>
      <c r="B46" s="156"/>
      <c r="C46" s="156"/>
      <c r="D46" s="156"/>
    </row>
    <row r="47" spans="1:6" s="23" customFormat="1" x14ac:dyDescent="0.35">
      <c r="A47" s="10" t="s">
        <v>82</v>
      </c>
      <c r="B47" s="10" t="s">
        <v>83</v>
      </c>
      <c r="C47" s="10" t="s">
        <v>84</v>
      </c>
      <c r="D47" s="10" t="s">
        <v>85</v>
      </c>
      <c r="F47" s="8"/>
    </row>
    <row r="48" spans="1:6" x14ac:dyDescent="0.35">
      <c r="A48" s="2" t="s">
        <v>411</v>
      </c>
      <c r="B48" s="13" t="s">
        <v>299</v>
      </c>
      <c r="C48" s="13">
        <v>375</v>
      </c>
      <c r="D48" s="22">
        <f>C48*35.315</f>
        <v>13243.125</v>
      </c>
    </row>
    <row r="49" spans="1:10" x14ac:dyDescent="0.35">
      <c r="A49" s="2" t="s">
        <v>412</v>
      </c>
      <c r="B49" s="13" t="s">
        <v>299</v>
      </c>
      <c r="C49" s="13">
        <v>375</v>
      </c>
      <c r="D49" s="22">
        <f t="shared" ref="D49:D60" si="0">C49*35.315</f>
        <v>13243.125</v>
      </c>
    </row>
    <row r="50" spans="1:10" x14ac:dyDescent="0.35">
      <c r="A50" s="2" t="s">
        <v>413</v>
      </c>
      <c r="B50" s="13" t="s">
        <v>299</v>
      </c>
      <c r="C50" s="13">
        <v>120</v>
      </c>
      <c r="D50" s="22">
        <f t="shared" si="0"/>
        <v>4237.7999999999993</v>
      </c>
    </row>
    <row r="51" spans="1:10" x14ac:dyDescent="0.35">
      <c r="A51" s="2" t="s">
        <v>414</v>
      </c>
      <c r="B51" s="13" t="s">
        <v>299</v>
      </c>
      <c r="C51" s="13">
        <v>125</v>
      </c>
      <c r="D51" s="22">
        <f t="shared" si="0"/>
        <v>4414.375</v>
      </c>
    </row>
    <row r="52" spans="1:10" x14ac:dyDescent="0.35">
      <c r="A52" s="2" t="s">
        <v>415</v>
      </c>
      <c r="B52" s="13" t="s">
        <v>303</v>
      </c>
      <c r="C52" s="13">
        <v>130</v>
      </c>
      <c r="D52" s="22">
        <f t="shared" si="0"/>
        <v>4590.95</v>
      </c>
    </row>
    <row r="53" spans="1:10" x14ac:dyDescent="0.35">
      <c r="A53" s="2" t="s">
        <v>416</v>
      </c>
      <c r="B53" s="13" t="s">
        <v>135</v>
      </c>
      <c r="C53" s="13">
        <v>121</v>
      </c>
      <c r="D53" s="22">
        <f t="shared" si="0"/>
        <v>4273.1149999999998</v>
      </c>
    </row>
    <row r="54" spans="1:10" x14ac:dyDescent="0.35">
      <c r="A54" s="2" t="s">
        <v>414</v>
      </c>
      <c r="B54" s="13" t="s">
        <v>135</v>
      </c>
      <c r="C54" s="13">
        <v>172</v>
      </c>
      <c r="D54" s="22">
        <f t="shared" si="0"/>
        <v>6074.1799999999994</v>
      </c>
    </row>
    <row r="55" spans="1:10" x14ac:dyDescent="0.35">
      <c r="A55" s="2" t="s">
        <v>417</v>
      </c>
      <c r="B55" s="13" t="s">
        <v>135</v>
      </c>
      <c r="C55" s="13">
        <v>204</v>
      </c>
      <c r="D55" s="22">
        <f t="shared" si="0"/>
        <v>7204.2599999999993</v>
      </c>
    </row>
    <row r="56" spans="1:10" x14ac:dyDescent="0.35">
      <c r="A56" s="2" t="s">
        <v>418</v>
      </c>
      <c r="B56" s="13" t="s">
        <v>135</v>
      </c>
      <c r="C56" s="13">
        <v>40</v>
      </c>
      <c r="D56" s="22">
        <f t="shared" si="0"/>
        <v>1412.6</v>
      </c>
    </row>
    <row r="57" spans="1:10" x14ac:dyDescent="0.35">
      <c r="A57" s="2" t="s">
        <v>419</v>
      </c>
      <c r="B57" s="13" t="s">
        <v>299</v>
      </c>
      <c r="C57" s="13">
        <v>140</v>
      </c>
      <c r="D57" s="22">
        <f t="shared" si="0"/>
        <v>4944.0999999999995</v>
      </c>
    </row>
    <row r="58" spans="1:10" x14ac:dyDescent="0.35">
      <c r="A58" s="2" t="s">
        <v>420</v>
      </c>
      <c r="B58" s="13" t="s">
        <v>405</v>
      </c>
      <c r="C58" s="13">
        <v>320</v>
      </c>
      <c r="D58" s="22">
        <f t="shared" si="0"/>
        <v>11300.8</v>
      </c>
    </row>
    <row r="59" spans="1:10" x14ac:dyDescent="0.35">
      <c r="A59" s="2" t="s">
        <v>421</v>
      </c>
      <c r="B59" s="13" t="s">
        <v>405</v>
      </c>
      <c r="C59" s="13">
        <v>50</v>
      </c>
      <c r="D59" s="22">
        <f t="shared" si="0"/>
        <v>1765.75</v>
      </c>
    </row>
    <row r="60" spans="1:10" x14ac:dyDescent="0.35">
      <c r="A60" s="2" t="s">
        <v>422</v>
      </c>
      <c r="B60" s="13" t="s">
        <v>405</v>
      </c>
      <c r="C60" s="13">
        <v>50</v>
      </c>
      <c r="D60" s="22">
        <f t="shared" si="0"/>
        <v>1765.75</v>
      </c>
    </row>
    <row r="61" spans="1:10" x14ac:dyDescent="0.35">
      <c r="A61" s="2"/>
      <c r="B61" s="13"/>
      <c r="C61" s="13"/>
      <c r="D61" s="22"/>
    </row>
    <row r="63" spans="1:10" x14ac:dyDescent="0.35">
      <c r="A63" s="163" t="s">
        <v>92</v>
      </c>
      <c r="B63" s="164"/>
      <c r="C63" s="164"/>
      <c r="D63" s="165"/>
      <c r="E63" s="10"/>
      <c r="F63" s="10"/>
      <c r="G63" s="10"/>
      <c r="H63" s="10"/>
      <c r="I63" s="10"/>
      <c r="J63" s="10"/>
    </row>
    <row r="64" spans="1:10" s="23" customFormat="1" x14ac:dyDescent="0.35">
      <c r="A64" s="10" t="s">
        <v>22</v>
      </c>
      <c r="B64" s="10" t="s">
        <v>30</v>
      </c>
      <c r="C64" s="10" t="s">
        <v>31</v>
      </c>
      <c r="D64" s="10" t="s">
        <v>32</v>
      </c>
      <c r="E64" s="10" t="s">
        <v>33</v>
      </c>
      <c r="F64" s="10" t="s">
        <v>34</v>
      </c>
      <c r="G64" s="10" t="s">
        <v>35</v>
      </c>
      <c r="H64" s="10" t="s">
        <v>36</v>
      </c>
      <c r="I64" s="10" t="s">
        <v>37</v>
      </c>
      <c r="J64" s="10" t="s">
        <v>38</v>
      </c>
    </row>
    <row r="65" spans="1:10" x14ac:dyDescent="0.35">
      <c r="A65" s="2" t="s">
        <v>117</v>
      </c>
      <c r="B65" s="15">
        <v>217</v>
      </c>
      <c r="C65" s="15">
        <v>217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</row>
    <row r="66" spans="1:10" x14ac:dyDescent="0.35">
      <c r="A66" s="2" t="s">
        <v>118</v>
      </c>
      <c r="B66" s="15">
        <v>207</v>
      </c>
      <c r="C66" s="15">
        <v>207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</row>
    <row r="67" spans="1:10" x14ac:dyDescent="0.35">
      <c r="A67" s="6" t="s">
        <v>119</v>
      </c>
      <c r="B67" s="15">
        <v>169</v>
      </c>
      <c r="C67" s="15">
        <v>169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</row>
    <row r="68" spans="1:10" x14ac:dyDescent="0.35">
      <c r="A68" s="6"/>
      <c r="B68" s="13"/>
      <c r="C68" s="6"/>
      <c r="D68" s="6"/>
      <c r="E68" s="6"/>
      <c r="F68" s="6"/>
      <c r="G68" s="6"/>
      <c r="H68" s="6"/>
      <c r="I68" s="6"/>
      <c r="J68" s="6"/>
    </row>
    <row r="69" spans="1:10" x14ac:dyDescent="0.35">
      <c r="A69" s="163" t="s">
        <v>109</v>
      </c>
      <c r="B69" s="164"/>
      <c r="C69" s="164"/>
      <c r="D69" s="165"/>
      <c r="E69" s="10"/>
      <c r="F69" s="10"/>
      <c r="G69" s="10"/>
      <c r="H69" s="10"/>
      <c r="I69" s="10"/>
      <c r="J69" s="10"/>
    </row>
    <row r="70" spans="1:10" s="23" customFormat="1" x14ac:dyDescent="0.35">
      <c r="A70" s="10" t="s">
        <v>22</v>
      </c>
      <c r="B70" s="10" t="s">
        <v>30</v>
      </c>
      <c r="C70" s="10" t="s">
        <v>31</v>
      </c>
      <c r="D70" s="10" t="s">
        <v>32</v>
      </c>
      <c r="E70" s="10" t="s">
        <v>33</v>
      </c>
      <c r="F70" s="10" t="s">
        <v>34</v>
      </c>
      <c r="G70" s="10" t="s">
        <v>35</v>
      </c>
      <c r="H70" s="10" t="s">
        <v>36</v>
      </c>
      <c r="I70" s="10" t="s">
        <v>37</v>
      </c>
      <c r="J70" s="10" t="s">
        <v>38</v>
      </c>
    </row>
    <row r="71" spans="1:10" x14ac:dyDescent="0.35">
      <c r="A71" s="17" t="s">
        <v>303</v>
      </c>
      <c r="B71" s="13">
        <v>57</v>
      </c>
      <c r="C71" s="13">
        <v>57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</row>
    <row r="72" spans="1:10" x14ac:dyDescent="0.35">
      <c r="B72" s="13"/>
      <c r="C72" s="6"/>
      <c r="D72" s="6"/>
      <c r="E72" s="6"/>
      <c r="F72" s="6"/>
      <c r="G72" s="6"/>
      <c r="H72" s="6"/>
      <c r="I72" s="6"/>
      <c r="J72" s="6"/>
    </row>
    <row r="73" spans="1:10" s="23" customFormat="1" x14ac:dyDescent="0.35">
      <c r="B73" s="12" t="s">
        <v>25</v>
      </c>
      <c r="C73" s="10" t="s">
        <v>26</v>
      </c>
      <c r="D73" s="12" t="s">
        <v>27</v>
      </c>
      <c r="E73" s="10" t="s">
        <v>26</v>
      </c>
      <c r="F73" s="12" t="s">
        <v>28</v>
      </c>
      <c r="G73" s="10" t="s">
        <v>26</v>
      </c>
      <c r="H73" s="12" t="s">
        <v>29</v>
      </c>
      <c r="I73" s="10" t="s">
        <v>138</v>
      </c>
      <c r="J73" s="10" t="s">
        <v>26</v>
      </c>
    </row>
    <row r="74" spans="1:10" x14ac:dyDescent="0.35">
      <c r="A74" s="6" t="s">
        <v>390</v>
      </c>
      <c r="B74" s="13" t="s">
        <v>136</v>
      </c>
      <c r="C74" s="13">
        <v>5</v>
      </c>
      <c r="D74" s="6" t="s">
        <v>95</v>
      </c>
      <c r="E74" s="13">
        <v>2</v>
      </c>
      <c r="F74" s="2" t="s">
        <v>97</v>
      </c>
      <c r="G74" s="13">
        <v>1</v>
      </c>
      <c r="H74" s="7" t="s">
        <v>117</v>
      </c>
      <c r="I74" s="15">
        <v>78418.880000000005</v>
      </c>
      <c r="J74" s="15">
        <v>1</v>
      </c>
    </row>
    <row r="75" spans="1:10" x14ac:dyDescent="0.35">
      <c r="A75" s="6"/>
      <c r="B75" s="13"/>
      <c r="C75" s="6"/>
      <c r="D75" s="6" t="s">
        <v>161</v>
      </c>
      <c r="E75" s="13">
        <v>2</v>
      </c>
      <c r="F75" s="2" t="s">
        <v>98</v>
      </c>
      <c r="G75" s="13">
        <v>1</v>
      </c>
      <c r="H75" s="7" t="s">
        <v>118</v>
      </c>
      <c r="I75" s="15">
        <v>83142.52</v>
      </c>
      <c r="J75" s="15">
        <v>1</v>
      </c>
    </row>
    <row r="76" spans="1:10" x14ac:dyDescent="0.35">
      <c r="A76" s="6"/>
      <c r="B76" s="13"/>
      <c r="C76" s="6"/>
      <c r="D76" s="2" t="s">
        <v>96</v>
      </c>
      <c r="E76" s="13">
        <v>3</v>
      </c>
      <c r="F76" s="2" t="s">
        <v>137</v>
      </c>
      <c r="G76" s="13">
        <v>0</v>
      </c>
      <c r="H76" s="7" t="s">
        <v>119</v>
      </c>
      <c r="I76" s="15">
        <v>83659</v>
      </c>
      <c r="J76" s="15">
        <v>1</v>
      </c>
    </row>
    <row r="77" spans="1:10" x14ac:dyDescent="0.35">
      <c r="D77" s="2" t="s">
        <v>163</v>
      </c>
      <c r="E77" s="13">
        <v>6</v>
      </c>
      <c r="F77" s="2" t="s">
        <v>165</v>
      </c>
      <c r="G77" s="13">
        <v>1</v>
      </c>
      <c r="I77" s="23"/>
      <c r="J77" s="23"/>
    </row>
    <row r="78" spans="1:10" x14ac:dyDescent="0.35">
      <c r="D78" s="2" t="s">
        <v>164</v>
      </c>
      <c r="E78" s="13">
        <v>2</v>
      </c>
      <c r="F78" s="16" t="s">
        <v>166</v>
      </c>
      <c r="G78" s="15">
        <v>2</v>
      </c>
      <c r="I78" s="23"/>
      <c r="J78" s="23"/>
    </row>
    <row r="79" spans="1:10" x14ac:dyDescent="0.35">
      <c r="D79" s="2" t="s">
        <v>162</v>
      </c>
      <c r="E79" s="13">
        <v>4</v>
      </c>
      <c r="F79" s="29"/>
      <c r="G79" s="23"/>
      <c r="I79" s="23"/>
      <c r="J79" s="23"/>
    </row>
    <row r="80" spans="1:10" x14ac:dyDescent="0.35">
      <c r="D80" s="2" t="s">
        <v>170</v>
      </c>
      <c r="E80" s="13">
        <v>0</v>
      </c>
    </row>
    <row r="82" spans="1:8" x14ac:dyDescent="0.35">
      <c r="A82" s="166" t="s">
        <v>101</v>
      </c>
      <c r="B82" s="167"/>
      <c r="C82" s="167"/>
      <c r="D82" s="167"/>
      <c r="E82" s="167"/>
      <c r="F82" s="168"/>
    </row>
    <row r="83" spans="1:8" x14ac:dyDescent="0.35">
      <c r="A83" s="5" t="s">
        <v>10</v>
      </c>
      <c r="B83" s="10" t="s">
        <v>22</v>
      </c>
      <c r="C83" s="5" t="s">
        <v>24</v>
      </c>
      <c r="D83" s="5" t="s">
        <v>61</v>
      </c>
      <c r="E83" s="5" t="s">
        <v>62</v>
      </c>
      <c r="F83" s="5" t="s">
        <v>63</v>
      </c>
    </row>
    <row r="84" spans="1:8" x14ac:dyDescent="0.35">
      <c r="A84" s="2"/>
      <c r="B84" s="17" t="s">
        <v>284</v>
      </c>
      <c r="C84" s="1"/>
      <c r="D84" s="24"/>
      <c r="E84" s="25">
        <v>25350</v>
      </c>
      <c r="F84" s="25">
        <v>42351</v>
      </c>
      <c r="G84" s="9"/>
    </row>
    <row r="85" spans="1:8" x14ac:dyDescent="0.35">
      <c r="A85" s="2"/>
      <c r="B85" s="17" t="s">
        <v>280</v>
      </c>
      <c r="C85" s="1"/>
      <c r="D85" s="24"/>
      <c r="E85" s="25">
        <v>45684</v>
      </c>
      <c r="F85" s="25">
        <v>42001</v>
      </c>
      <c r="G85" s="9"/>
    </row>
    <row r="86" spans="1:8" x14ac:dyDescent="0.35">
      <c r="A86" s="2"/>
      <c r="B86" s="17" t="s">
        <v>281</v>
      </c>
      <c r="C86" s="1"/>
      <c r="D86" s="24"/>
      <c r="E86" s="25">
        <v>74944</v>
      </c>
      <c r="F86" s="25">
        <v>64368</v>
      </c>
      <c r="G86" s="9"/>
    </row>
    <row r="87" spans="1:8" x14ac:dyDescent="0.35">
      <c r="A87" s="2"/>
      <c r="B87" s="17" t="s">
        <v>282</v>
      </c>
      <c r="C87" s="1"/>
      <c r="D87" s="24"/>
      <c r="E87" s="25">
        <v>74865</v>
      </c>
      <c r="F87" s="25">
        <v>64310</v>
      </c>
      <c r="G87" s="9"/>
    </row>
    <row r="88" spans="1:8" x14ac:dyDescent="0.35">
      <c r="A88" s="2"/>
      <c r="B88" s="17" t="s">
        <v>287</v>
      </c>
      <c r="C88" s="1"/>
      <c r="D88" s="24"/>
      <c r="E88" s="25">
        <v>74923.55</v>
      </c>
      <c r="F88" s="25">
        <v>64252</v>
      </c>
      <c r="G88" s="9"/>
    </row>
    <row r="89" spans="1:8" x14ac:dyDescent="0.35">
      <c r="A89" s="2"/>
      <c r="B89" s="17" t="s">
        <v>288</v>
      </c>
      <c r="C89" s="1"/>
      <c r="D89" s="24"/>
      <c r="E89" s="25">
        <v>69954.53</v>
      </c>
      <c r="F89" s="25">
        <v>64739</v>
      </c>
      <c r="G89" s="9"/>
    </row>
    <row r="90" spans="1:8" x14ac:dyDescent="0.35">
      <c r="A90" s="2"/>
      <c r="B90" s="17" t="s">
        <v>289</v>
      </c>
      <c r="C90" s="1"/>
      <c r="D90" s="24"/>
      <c r="E90" s="25">
        <v>74659.97</v>
      </c>
      <c r="F90" s="25">
        <v>64096</v>
      </c>
      <c r="G90" s="9"/>
    </row>
    <row r="91" spans="1:8" x14ac:dyDescent="0.35">
      <c r="A91" s="2"/>
      <c r="B91" s="17" t="s">
        <v>290</v>
      </c>
      <c r="C91" s="1"/>
      <c r="D91" s="24"/>
      <c r="E91" s="25">
        <v>74660</v>
      </c>
      <c r="F91" s="25">
        <v>64096</v>
      </c>
      <c r="G91" s="9"/>
    </row>
    <row r="92" spans="1:8" x14ac:dyDescent="0.35">
      <c r="A92" s="2"/>
      <c r="B92" s="17" t="s">
        <v>291</v>
      </c>
      <c r="C92" s="1"/>
      <c r="D92" s="24"/>
      <c r="E92" s="25">
        <v>69296</v>
      </c>
      <c r="F92" s="25">
        <v>64002</v>
      </c>
      <c r="G92" s="9"/>
    </row>
    <row r="93" spans="1:8" x14ac:dyDescent="0.35">
      <c r="A93" s="2"/>
      <c r="B93" s="17" t="s">
        <v>403</v>
      </c>
      <c r="C93" s="1"/>
      <c r="D93" s="24"/>
      <c r="E93" s="25">
        <v>74848</v>
      </c>
      <c r="F93" s="25">
        <v>64219</v>
      </c>
      <c r="G93" s="9"/>
    </row>
    <row r="94" spans="1:8" x14ac:dyDescent="0.35">
      <c r="A94" s="2"/>
      <c r="B94" s="17" t="s">
        <v>135</v>
      </c>
      <c r="C94" s="1"/>
      <c r="D94" s="24"/>
      <c r="E94" s="25">
        <v>12397.77</v>
      </c>
      <c r="F94" s="25">
        <v>12397.77</v>
      </c>
    </row>
    <row r="95" spans="1:8" x14ac:dyDescent="0.35">
      <c r="A95" s="2"/>
      <c r="B95" s="17" t="s">
        <v>405</v>
      </c>
      <c r="C95" s="1"/>
      <c r="D95" s="24"/>
      <c r="E95" s="73">
        <v>78418.880000000005</v>
      </c>
      <c r="F95" s="73">
        <v>78418.880000000005</v>
      </c>
      <c r="H95" s="34"/>
    </row>
    <row r="96" spans="1:8" x14ac:dyDescent="0.35">
      <c r="A96" s="2"/>
      <c r="B96" s="17" t="s">
        <v>131</v>
      </c>
      <c r="C96" s="1"/>
      <c r="D96" s="24"/>
      <c r="E96" s="73">
        <v>83142.52</v>
      </c>
      <c r="F96" s="73">
        <v>83142.52</v>
      </c>
    </row>
    <row r="97" spans="1:14" x14ac:dyDescent="0.35">
      <c r="A97" s="2"/>
      <c r="B97" s="17" t="s">
        <v>299</v>
      </c>
      <c r="C97" s="1"/>
      <c r="D97" s="24"/>
      <c r="E97" s="73">
        <v>83659</v>
      </c>
      <c r="F97" s="73">
        <v>83659</v>
      </c>
    </row>
    <row r="99" spans="1:14" x14ac:dyDescent="0.35">
      <c r="A99" s="155" t="s">
        <v>108</v>
      </c>
      <c r="B99" s="155"/>
      <c r="C99" s="155"/>
      <c r="D99" s="155"/>
      <c r="E99" s="155"/>
      <c r="F99" s="155"/>
    </row>
    <row r="101" spans="1:14" x14ac:dyDescent="0.35">
      <c r="A101" s="156" t="s">
        <v>100</v>
      </c>
      <c r="B101" s="156"/>
      <c r="C101" s="156"/>
      <c r="D101" s="156"/>
      <c r="E101" s="156"/>
      <c r="F101" s="156"/>
      <c r="G101" s="156"/>
      <c r="H101" s="156"/>
      <c r="I101" s="156"/>
      <c r="J101" s="156"/>
    </row>
    <row r="102" spans="1:14" x14ac:dyDescent="0.35">
      <c r="A102" s="5" t="s">
        <v>51</v>
      </c>
      <c r="B102" s="10" t="s">
        <v>52</v>
      </c>
      <c r="C102" s="5" t="s">
        <v>53</v>
      </c>
      <c r="D102" s="5" t="s">
        <v>54</v>
      </c>
      <c r="E102" s="5" t="s">
        <v>55</v>
      </c>
      <c r="F102" s="5" t="s">
        <v>56</v>
      </c>
      <c r="G102" s="5" t="s">
        <v>57</v>
      </c>
      <c r="H102" s="5" t="s">
        <v>58</v>
      </c>
      <c r="I102" s="5" t="s">
        <v>59</v>
      </c>
      <c r="J102" s="5" t="s">
        <v>60</v>
      </c>
    </row>
    <row r="103" spans="1:14" x14ac:dyDescent="0.35">
      <c r="A103" s="6" t="s">
        <v>423</v>
      </c>
      <c r="B103" s="6" t="s">
        <v>699</v>
      </c>
      <c r="C103" s="15" t="s">
        <v>187</v>
      </c>
      <c r="D103" s="15" t="s">
        <v>187</v>
      </c>
      <c r="E103" s="49">
        <v>1050</v>
      </c>
      <c r="F103" s="15">
        <v>200</v>
      </c>
      <c r="G103" s="50">
        <v>1340</v>
      </c>
      <c r="H103" s="15">
        <v>220</v>
      </c>
      <c r="I103" s="15">
        <v>220</v>
      </c>
      <c r="J103" s="15">
        <v>0</v>
      </c>
    </row>
    <row r="104" spans="1:14" x14ac:dyDescent="0.35">
      <c r="A104" s="6" t="s">
        <v>424</v>
      </c>
      <c r="B104" s="6" t="s">
        <v>700</v>
      </c>
      <c r="C104" s="15" t="s">
        <v>187</v>
      </c>
      <c r="D104" s="15" t="s">
        <v>187</v>
      </c>
      <c r="E104" s="49">
        <v>2200</v>
      </c>
      <c r="F104" s="15">
        <v>150</v>
      </c>
      <c r="G104" s="50">
        <v>1800</v>
      </c>
      <c r="H104" s="15">
        <v>244</v>
      </c>
      <c r="I104" s="15">
        <v>244</v>
      </c>
      <c r="J104" s="15">
        <v>0</v>
      </c>
    </row>
    <row r="105" spans="1:14" x14ac:dyDescent="0.35">
      <c r="A105" s="6" t="s">
        <v>425</v>
      </c>
      <c r="B105" s="6" t="s">
        <v>701</v>
      </c>
      <c r="C105" s="15" t="s">
        <v>187</v>
      </c>
      <c r="D105" s="15" t="s">
        <v>187</v>
      </c>
      <c r="E105" s="49">
        <v>400</v>
      </c>
      <c r="F105" s="15">
        <v>50</v>
      </c>
      <c r="G105" s="50">
        <v>650</v>
      </c>
      <c r="H105" s="15">
        <v>92</v>
      </c>
      <c r="I105" s="15">
        <v>92</v>
      </c>
      <c r="J105" s="15">
        <v>0</v>
      </c>
    </row>
    <row r="106" spans="1:14" x14ac:dyDescent="0.35">
      <c r="A106" s="6" t="s">
        <v>426</v>
      </c>
      <c r="B106" s="6" t="s">
        <v>702</v>
      </c>
      <c r="C106" s="15" t="s">
        <v>187</v>
      </c>
      <c r="D106" s="15" t="s">
        <v>187</v>
      </c>
      <c r="E106" s="49">
        <v>400</v>
      </c>
      <c r="F106" s="15">
        <v>50</v>
      </c>
      <c r="G106" s="50">
        <v>620</v>
      </c>
      <c r="H106" s="15">
        <v>75</v>
      </c>
      <c r="I106" s="15">
        <v>75</v>
      </c>
      <c r="J106" s="15">
        <v>0</v>
      </c>
    </row>
    <row r="107" spans="1:14" x14ac:dyDescent="0.35">
      <c r="A107" s="6" t="s">
        <v>427</v>
      </c>
      <c r="B107" s="6" t="s">
        <v>703</v>
      </c>
      <c r="C107" s="15" t="s">
        <v>187</v>
      </c>
      <c r="D107" s="15" t="s">
        <v>187</v>
      </c>
      <c r="E107" s="49">
        <v>550</v>
      </c>
      <c r="F107" s="15">
        <v>60</v>
      </c>
      <c r="G107" s="51">
        <v>580</v>
      </c>
      <c r="H107" s="15">
        <v>88</v>
      </c>
      <c r="I107" s="15">
        <v>88</v>
      </c>
      <c r="J107" s="15">
        <v>0</v>
      </c>
    </row>
    <row r="108" spans="1:14" x14ac:dyDescent="0.35">
      <c r="N108" s="11"/>
    </row>
    <row r="109" spans="1:14" x14ac:dyDescent="0.35">
      <c r="A109" s="156" t="s">
        <v>102</v>
      </c>
      <c r="B109" s="156"/>
      <c r="C109" s="156"/>
      <c r="D109" s="156"/>
      <c r="N109" s="11"/>
    </row>
    <row r="110" spans="1:14" x14ac:dyDescent="0.35">
      <c r="A110" s="5" t="s">
        <v>68</v>
      </c>
      <c r="B110" s="10" t="s">
        <v>69</v>
      </c>
      <c r="C110" s="5" t="s">
        <v>70</v>
      </c>
      <c r="D110" s="5" t="s">
        <v>71</v>
      </c>
      <c r="N110" s="11"/>
    </row>
    <row r="111" spans="1:14" x14ac:dyDescent="0.35">
      <c r="A111" s="6" t="s">
        <v>178</v>
      </c>
      <c r="B111" s="28">
        <v>217</v>
      </c>
      <c r="C111" s="6" t="s">
        <v>117</v>
      </c>
      <c r="D111" s="6" t="s">
        <v>32</v>
      </c>
      <c r="N111" s="11"/>
    </row>
    <row r="112" spans="1:14" x14ac:dyDescent="0.35">
      <c r="A112" s="6" t="s">
        <v>178</v>
      </c>
      <c r="B112" s="28">
        <v>207</v>
      </c>
      <c r="C112" s="6" t="s">
        <v>118</v>
      </c>
      <c r="D112" s="6" t="s">
        <v>32</v>
      </c>
      <c r="N112" s="11"/>
    </row>
    <row r="113" spans="1:14" x14ac:dyDescent="0.35">
      <c r="A113" s="6" t="s">
        <v>178</v>
      </c>
      <c r="B113" s="28">
        <v>169</v>
      </c>
      <c r="C113" s="6" t="s">
        <v>119</v>
      </c>
      <c r="D113" s="6" t="s">
        <v>32</v>
      </c>
      <c r="N113" s="11"/>
    </row>
    <row r="114" spans="1:14" x14ac:dyDescent="0.35">
      <c r="A114" s="6" t="s">
        <v>178</v>
      </c>
      <c r="B114" s="13">
        <v>57</v>
      </c>
      <c r="C114" s="6" t="s">
        <v>428</v>
      </c>
      <c r="D114" s="6" t="s">
        <v>32</v>
      </c>
      <c r="N114" s="11"/>
    </row>
    <row r="115" spans="1:14" x14ac:dyDescent="0.35">
      <c r="A115" s="6" t="s">
        <v>178</v>
      </c>
      <c r="B115" s="13">
        <v>26</v>
      </c>
      <c r="C115" s="6" t="s">
        <v>429</v>
      </c>
      <c r="D115" s="6" t="s">
        <v>32</v>
      </c>
    </row>
    <row r="116" spans="1:14" x14ac:dyDescent="0.35">
      <c r="A116" s="6" t="s">
        <v>178</v>
      </c>
      <c r="B116" s="13">
        <v>30</v>
      </c>
      <c r="C116" s="6" t="s">
        <v>430</v>
      </c>
      <c r="D116" s="6" t="s">
        <v>32</v>
      </c>
    </row>
    <row r="117" spans="1:14" x14ac:dyDescent="0.35">
      <c r="A117" s="6"/>
      <c r="B117" s="13"/>
      <c r="C117" s="6"/>
      <c r="D117" s="6"/>
      <c r="E117" s="6"/>
    </row>
    <row r="118" spans="1:14" x14ac:dyDescent="0.35">
      <c r="A118" s="5" t="s">
        <v>51</v>
      </c>
      <c r="B118" s="10" t="s">
        <v>64</v>
      </c>
      <c r="C118" s="5" t="s">
        <v>65</v>
      </c>
      <c r="D118" s="5" t="s">
        <v>66</v>
      </c>
      <c r="E118" s="5" t="s">
        <v>67</v>
      </c>
    </row>
    <row r="119" spans="1:14" ht="29" x14ac:dyDescent="0.35">
      <c r="A119" s="15" t="s">
        <v>423</v>
      </c>
      <c r="B119" s="15" t="s">
        <v>431</v>
      </c>
      <c r="C119" s="35" t="s">
        <v>432</v>
      </c>
      <c r="D119" s="15">
        <v>9123930773</v>
      </c>
      <c r="E119" s="15" t="s">
        <v>433</v>
      </c>
    </row>
    <row r="120" spans="1:14" x14ac:dyDescent="0.35">
      <c r="A120" s="15" t="s">
        <v>424</v>
      </c>
      <c r="B120" s="15" t="s">
        <v>434</v>
      </c>
      <c r="C120" s="35" t="s">
        <v>435</v>
      </c>
      <c r="D120" s="15">
        <v>9738387429</v>
      </c>
      <c r="E120" s="15" t="s">
        <v>436</v>
      </c>
    </row>
    <row r="121" spans="1:14" x14ac:dyDescent="0.35">
      <c r="A121" s="15" t="s">
        <v>425</v>
      </c>
      <c r="B121" s="15" t="s">
        <v>437</v>
      </c>
      <c r="C121" s="35" t="s">
        <v>438</v>
      </c>
      <c r="D121" s="15">
        <v>9582247399</v>
      </c>
      <c r="E121" s="15" t="s">
        <v>439</v>
      </c>
    </row>
    <row r="122" spans="1:14" x14ac:dyDescent="0.35">
      <c r="A122" s="15" t="s">
        <v>426</v>
      </c>
      <c r="B122" s="15" t="s">
        <v>440</v>
      </c>
      <c r="C122" s="35" t="s">
        <v>441</v>
      </c>
      <c r="D122" s="15">
        <v>9731010002</v>
      </c>
      <c r="E122" s="15" t="s">
        <v>442</v>
      </c>
    </row>
    <row r="123" spans="1:14" x14ac:dyDescent="0.35">
      <c r="A123" s="15" t="s">
        <v>427</v>
      </c>
      <c r="B123" s="15" t="s">
        <v>443</v>
      </c>
      <c r="C123" s="35" t="s">
        <v>444</v>
      </c>
      <c r="D123" s="15">
        <v>9008766115</v>
      </c>
      <c r="E123" s="15" t="s">
        <v>445</v>
      </c>
    </row>
    <row r="126" spans="1:14" x14ac:dyDescent="0.35">
      <c r="A126" s="157" t="s">
        <v>99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8"/>
      <c r="L126" s="159"/>
    </row>
    <row r="127" spans="1:14" x14ac:dyDescent="0.35">
      <c r="A127" s="160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2"/>
    </row>
    <row r="128" spans="1:14" x14ac:dyDescent="0.35">
      <c r="A128" s="5" t="s">
        <v>39</v>
      </c>
      <c r="B128" s="10" t="s">
        <v>40</v>
      </c>
      <c r="C128" s="5" t="s">
        <v>41</v>
      </c>
      <c r="D128" s="5" t="s">
        <v>42</v>
      </c>
      <c r="E128" s="5" t="s">
        <v>43</v>
      </c>
      <c r="F128" s="5" t="s">
        <v>44</v>
      </c>
      <c r="G128" s="5" t="s">
        <v>45</v>
      </c>
      <c r="H128" s="5" t="s">
        <v>46</v>
      </c>
      <c r="I128" s="5" t="s">
        <v>47</v>
      </c>
      <c r="J128" s="5" t="s">
        <v>48</v>
      </c>
      <c r="K128" s="5" t="s">
        <v>49</v>
      </c>
      <c r="L128" s="5" t="s">
        <v>50</v>
      </c>
    </row>
    <row r="129" spans="1:12" x14ac:dyDescent="0.35">
      <c r="A129" s="6" t="s">
        <v>115</v>
      </c>
      <c r="B129" s="13" t="s">
        <v>344</v>
      </c>
      <c r="C129" s="6" t="s">
        <v>446</v>
      </c>
      <c r="D129" s="7" t="s">
        <v>187</v>
      </c>
      <c r="E129" s="7" t="s">
        <v>179</v>
      </c>
      <c r="F129" s="6" t="s">
        <v>447</v>
      </c>
      <c r="G129" s="6" t="s">
        <v>448</v>
      </c>
      <c r="H129" s="6" t="s">
        <v>449</v>
      </c>
      <c r="I129" s="6" t="s">
        <v>228</v>
      </c>
      <c r="J129" s="6" t="s">
        <v>187</v>
      </c>
      <c r="K129" s="7" t="s">
        <v>187</v>
      </c>
      <c r="L129" s="6" t="s">
        <v>139</v>
      </c>
    </row>
    <row r="130" spans="1:12" x14ac:dyDescent="0.35">
      <c r="A130" s="6"/>
      <c r="B130" s="13"/>
      <c r="C130" s="6"/>
      <c r="D130" s="7"/>
      <c r="E130" s="7" t="s">
        <v>180</v>
      </c>
      <c r="F130" s="6"/>
      <c r="G130" s="6"/>
      <c r="H130" s="6"/>
      <c r="I130" s="6"/>
      <c r="J130" s="6"/>
      <c r="K130" s="7"/>
      <c r="L130" s="6"/>
    </row>
    <row r="131" spans="1:12" x14ac:dyDescent="0.35">
      <c r="A131" s="6"/>
      <c r="B131" s="13"/>
      <c r="C131" s="6"/>
      <c r="D131" s="7"/>
      <c r="E131" s="7" t="s">
        <v>181</v>
      </c>
      <c r="F131" s="6"/>
      <c r="G131" s="6"/>
      <c r="H131" s="6"/>
      <c r="I131" s="6"/>
      <c r="J131" s="6"/>
      <c r="K131" s="7"/>
      <c r="L131" s="6"/>
    </row>
  </sheetData>
  <mergeCells count="13">
    <mergeCell ref="A126:L127"/>
    <mergeCell ref="A63:D63"/>
    <mergeCell ref="A69:D69"/>
    <mergeCell ref="A82:F82"/>
    <mergeCell ref="A99:F99"/>
    <mergeCell ref="A101:J101"/>
    <mergeCell ref="A109:D109"/>
    <mergeCell ref="A46:D46"/>
    <mergeCell ref="A1:L2"/>
    <mergeCell ref="A13:E13"/>
    <mergeCell ref="A30:L30"/>
    <mergeCell ref="A34:B34"/>
    <mergeCell ref="A40:B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65"/>
  <sheetViews>
    <sheetView topLeftCell="F1" workbookViewId="0">
      <selection activeCell="D53" sqref="D53"/>
    </sheetView>
  </sheetViews>
  <sheetFormatPr defaultColWidth="9.1796875" defaultRowHeight="14.5" x14ac:dyDescent="0.35"/>
  <cols>
    <col min="1" max="1" width="31" style="8" customWidth="1"/>
    <col min="2" max="2" width="23.453125" style="8" bestFit="1" customWidth="1"/>
    <col min="3" max="3" width="25.54296875" style="8" customWidth="1"/>
    <col min="4" max="4" width="19.453125" style="8" customWidth="1"/>
    <col min="5" max="5" width="47.54296875" style="8" customWidth="1"/>
    <col min="6" max="6" width="13.7265625" style="8" customWidth="1"/>
    <col min="7" max="7" width="18.54296875" style="8" bestFit="1" customWidth="1"/>
    <col min="8" max="8" width="28.453125" style="8" bestFit="1" customWidth="1"/>
    <col min="9" max="9" width="14.1796875" style="8" customWidth="1"/>
    <col min="10" max="10" width="17.7265625" style="8" customWidth="1"/>
    <col min="11" max="11" width="19" style="8" customWidth="1"/>
    <col min="12" max="12" width="20.81640625" style="8" customWidth="1"/>
    <col min="13" max="16384" width="9.1796875" style="8"/>
  </cols>
  <sheetData>
    <row r="1" spans="1:13" s="4" customFormat="1" x14ac:dyDescent="0.35">
      <c r="A1" s="156" t="s">
        <v>87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</row>
    <row r="2" spans="1:13" s="4" customFormat="1" x14ac:dyDescent="0.35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</row>
    <row r="3" spans="1:13" s="4" customFormat="1" x14ac:dyDescent="0.35">
      <c r="A3" s="5" t="s">
        <v>86</v>
      </c>
      <c r="B3" s="5" t="s">
        <v>1</v>
      </c>
      <c r="C3" s="5" t="s">
        <v>0</v>
      </c>
      <c r="D3" s="5" t="s">
        <v>107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</row>
    <row r="4" spans="1:13" ht="101.5" x14ac:dyDescent="0.35">
      <c r="A4" s="18">
        <v>1</v>
      </c>
      <c r="B4" s="18" t="s">
        <v>348</v>
      </c>
      <c r="C4" s="18" t="s">
        <v>88</v>
      </c>
      <c r="D4" s="19" t="s">
        <v>618</v>
      </c>
      <c r="E4" s="18" t="s">
        <v>88</v>
      </c>
      <c r="F4" s="18" t="s">
        <v>110</v>
      </c>
      <c r="G4" s="18" t="s">
        <v>392</v>
      </c>
      <c r="H4" s="3" t="s">
        <v>393</v>
      </c>
      <c r="I4" s="18" t="s">
        <v>89</v>
      </c>
      <c r="J4" s="3" t="s">
        <v>90</v>
      </c>
      <c r="K4" s="18" t="s">
        <v>619</v>
      </c>
      <c r="L4" s="20">
        <v>1</v>
      </c>
    </row>
    <row r="5" spans="1:13" x14ac:dyDescent="0.3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3" x14ac:dyDescent="0.35">
      <c r="G6" s="21"/>
      <c r="H6" s="21"/>
      <c r="I6" s="21"/>
      <c r="J6" s="21"/>
      <c r="K6" s="21"/>
      <c r="L6" s="21"/>
    </row>
    <row r="8" spans="1:13" ht="43.5" x14ac:dyDescent="0.35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  <c r="I8" s="5" t="s">
        <v>18</v>
      </c>
      <c r="J8" s="5" t="s">
        <v>19</v>
      </c>
      <c r="K8" s="5" t="s">
        <v>20</v>
      </c>
    </row>
    <row r="9" spans="1:13" x14ac:dyDescent="0.35">
      <c r="A9" s="6" t="s">
        <v>620</v>
      </c>
      <c r="B9" s="6" t="s">
        <v>91</v>
      </c>
      <c r="C9" s="6" t="s">
        <v>562</v>
      </c>
      <c r="D9" s="7" t="s">
        <v>621</v>
      </c>
      <c r="E9" s="7" t="s">
        <v>622</v>
      </c>
      <c r="F9" s="7" t="s">
        <v>623</v>
      </c>
      <c r="G9" s="7" t="s">
        <v>624</v>
      </c>
      <c r="H9" s="52" t="s">
        <v>187</v>
      </c>
      <c r="I9" s="52" t="s">
        <v>187</v>
      </c>
      <c r="J9" s="52" t="s">
        <v>187</v>
      </c>
      <c r="K9" s="7">
        <v>2005</v>
      </c>
    </row>
    <row r="10" spans="1:13" x14ac:dyDescent="0.35">
      <c r="D10" s="8">
        <f>10.764*53242.85</f>
        <v>573106.03739999991</v>
      </c>
      <c r="E10" s="8">
        <f>10.764*50454.57</f>
        <v>543092.99147999997</v>
      </c>
      <c r="F10" s="8">
        <v>24479</v>
      </c>
      <c r="G10" s="8">
        <v>95638</v>
      </c>
    </row>
    <row r="13" spans="1:13" x14ac:dyDescent="0.35">
      <c r="A13" s="91" t="s">
        <v>93</v>
      </c>
      <c r="B13" s="91"/>
      <c r="C13" s="91"/>
      <c r="D13" s="146" t="s">
        <v>796</v>
      </c>
      <c r="E13" s="148" t="s">
        <v>808</v>
      </c>
      <c r="F13" s="149"/>
      <c r="G13" s="146" t="s">
        <v>796</v>
      </c>
      <c r="H13" s="146" t="s">
        <v>809</v>
      </c>
      <c r="I13" s="147"/>
      <c r="J13" s="91"/>
      <c r="K13" s="91"/>
    </row>
    <row r="14" spans="1:13" ht="12" customHeight="1" x14ac:dyDescent="0.35">
      <c r="A14" s="5" t="s">
        <v>10</v>
      </c>
      <c r="B14" s="5" t="s">
        <v>21</v>
      </c>
      <c r="C14" s="5" t="s">
        <v>22</v>
      </c>
      <c r="D14" s="6"/>
      <c r="E14" s="5" t="s">
        <v>23</v>
      </c>
      <c r="F14" s="5" t="s">
        <v>24</v>
      </c>
      <c r="H14" s="5" t="s">
        <v>23</v>
      </c>
      <c r="I14" s="5" t="s">
        <v>24</v>
      </c>
      <c r="J14" s="5" t="s">
        <v>23</v>
      </c>
      <c r="K14" s="5" t="s">
        <v>24</v>
      </c>
      <c r="M14" s="30" t="s">
        <v>177</v>
      </c>
    </row>
    <row r="15" spans="1:13" ht="14.25" customHeight="1" x14ac:dyDescent="0.35">
      <c r="A15" s="2" t="s">
        <v>278</v>
      </c>
      <c r="B15" s="2" t="s">
        <v>94</v>
      </c>
      <c r="C15" s="2" t="s">
        <v>279</v>
      </c>
      <c r="E15" s="2"/>
      <c r="F15" s="2"/>
      <c r="G15" s="2"/>
      <c r="H15" s="2"/>
      <c r="I15" s="2"/>
      <c r="J15" s="1">
        <v>67118.930496999994</v>
      </c>
      <c r="K15" s="3"/>
      <c r="L15" s="9" t="s">
        <v>279</v>
      </c>
      <c r="M15" s="2" t="s">
        <v>625</v>
      </c>
    </row>
    <row r="16" spans="1:13" ht="15" customHeight="1" x14ac:dyDescent="0.35">
      <c r="A16" s="2" t="s">
        <v>120</v>
      </c>
      <c r="B16" s="2" t="s">
        <v>94</v>
      </c>
      <c r="C16" s="2" t="s">
        <v>280</v>
      </c>
      <c r="D16" s="6" t="s">
        <v>658</v>
      </c>
      <c r="E16" s="2"/>
      <c r="F16" s="2"/>
      <c r="G16" s="2"/>
      <c r="H16" s="2"/>
      <c r="I16" s="2"/>
      <c r="J16" s="1">
        <v>59173.438963000001</v>
      </c>
      <c r="K16" s="3"/>
      <c r="L16" s="9" t="s">
        <v>649</v>
      </c>
      <c r="M16" s="2" t="s">
        <v>626</v>
      </c>
    </row>
    <row r="17" spans="1:14" ht="12.75" customHeight="1" x14ac:dyDescent="0.35">
      <c r="A17" s="2" t="s">
        <v>120</v>
      </c>
      <c r="B17" s="2" t="s">
        <v>94</v>
      </c>
      <c r="C17" s="2" t="s">
        <v>281</v>
      </c>
      <c r="D17" s="6" t="s">
        <v>657</v>
      </c>
      <c r="E17" s="2"/>
      <c r="F17" s="2"/>
      <c r="G17" s="2"/>
      <c r="H17" s="2"/>
      <c r="I17" s="2"/>
      <c r="J17" s="1">
        <v>59173.438963000001</v>
      </c>
      <c r="K17" s="3"/>
      <c r="L17" s="9" t="s">
        <v>650</v>
      </c>
      <c r="M17" s="2" t="s">
        <v>626</v>
      </c>
    </row>
    <row r="18" spans="1:14" ht="12.75" customHeight="1" x14ac:dyDescent="0.35">
      <c r="A18" s="2" t="s">
        <v>120</v>
      </c>
      <c r="B18" s="2" t="s">
        <v>94</v>
      </c>
      <c r="C18" s="2" t="s">
        <v>282</v>
      </c>
      <c r="D18" s="6" t="s">
        <v>791</v>
      </c>
      <c r="E18" s="2"/>
      <c r="F18" s="2"/>
      <c r="G18" s="2"/>
      <c r="H18" s="2"/>
      <c r="I18" s="2"/>
      <c r="J18" s="1">
        <v>60125.72</v>
      </c>
      <c r="K18" s="3"/>
      <c r="L18" s="9" t="s">
        <v>651</v>
      </c>
      <c r="M18" s="2" t="s">
        <v>627</v>
      </c>
    </row>
    <row r="19" spans="1:14" ht="12.75" customHeight="1" x14ac:dyDescent="0.35">
      <c r="A19" s="2" t="s">
        <v>120</v>
      </c>
      <c r="B19" s="2" t="s">
        <v>94</v>
      </c>
      <c r="C19" s="2" t="s">
        <v>287</v>
      </c>
      <c r="D19" s="6" t="s">
        <v>232</v>
      </c>
      <c r="E19" s="2"/>
      <c r="F19" s="2"/>
      <c r="G19" s="2"/>
      <c r="H19" s="2"/>
      <c r="I19" s="2"/>
      <c r="J19" s="1">
        <v>60125.72</v>
      </c>
      <c r="K19" s="3"/>
      <c r="L19" s="9" t="s">
        <v>652</v>
      </c>
      <c r="M19" s="2" t="s">
        <v>627</v>
      </c>
    </row>
    <row r="20" spans="1:14" ht="12.75" customHeight="1" x14ac:dyDescent="0.35">
      <c r="A20" s="2" t="s">
        <v>120</v>
      </c>
      <c r="B20" s="2" t="s">
        <v>94</v>
      </c>
      <c r="C20" s="2" t="s">
        <v>288</v>
      </c>
      <c r="D20" s="6" t="s">
        <v>239</v>
      </c>
      <c r="E20" s="2"/>
      <c r="F20" s="2"/>
      <c r="G20" s="2"/>
      <c r="H20" s="2"/>
      <c r="I20" s="2"/>
      <c r="J20" s="1">
        <v>60125.72</v>
      </c>
      <c r="K20" s="3"/>
      <c r="L20" s="9" t="s">
        <v>653</v>
      </c>
      <c r="M20" s="2" t="s">
        <v>627</v>
      </c>
    </row>
    <row r="21" spans="1:14" ht="12.75" customHeight="1" x14ac:dyDescent="0.35">
      <c r="A21" s="2" t="s">
        <v>120</v>
      </c>
      <c r="B21" s="2" t="s">
        <v>94</v>
      </c>
      <c r="C21" s="2" t="s">
        <v>289</v>
      </c>
      <c r="D21" s="6" t="s">
        <v>232</v>
      </c>
      <c r="E21" s="2"/>
      <c r="F21" s="2"/>
      <c r="G21" s="2"/>
      <c r="H21" s="2"/>
      <c r="I21" s="2"/>
      <c r="J21" s="1">
        <v>56289.786120999997</v>
      </c>
      <c r="K21" s="3"/>
      <c r="L21" s="9" t="s">
        <v>654</v>
      </c>
      <c r="M21" s="2" t="s">
        <v>628</v>
      </c>
    </row>
    <row r="22" spans="1:14" ht="12.75" customHeight="1" x14ac:dyDescent="0.35">
      <c r="A22" s="2" t="s">
        <v>120</v>
      </c>
      <c r="B22" s="2" t="s">
        <v>94</v>
      </c>
      <c r="C22" s="2" t="s">
        <v>290</v>
      </c>
      <c r="D22" s="6" t="s">
        <v>239</v>
      </c>
      <c r="E22" s="2"/>
      <c r="F22" s="2"/>
      <c r="G22" s="2"/>
      <c r="H22" s="2"/>
      <c r="I22" s="2"/>
      <c r="J22" s="1">
        <v>56289.786120999997</v>
      </c>
      <c r="K22" s="3"/>
      <c r="L22" s="9" t="s">
        <v>685</v>
      </c>
      <c r="M22" s="2" t="s">
        <v>628</v>
      </c>
    </row>
    <row r="23" spans="1:14" ht="12.75" customHeight="1" x14ac:dyDescent="0.35">
      <c r="A23" s="2" t="s">
        <v>120</v>
      </c>
      <c r="B23" s="2" t="s">
        <v>94</v>
      </c>
      <c r="C23" s="2" t="s">
        <v>291</v>
      </c>
      <c r="D23" s="6"/>
      <c r="E23" s="2"/>
      <c r="F23" s="2"/>
      <c r="G23" s="2"/>
      <c r="H23" s="2"/>
      <c r="I23" s="2"/>
      <c r="J23" s="1">
        <v>56289.786120999997</v>
      </c>
      <c r="K23" s="3"/>
      <c r="L23" s="9" t="s">
        <v>686</v>
      </c>
      <c r="M23" s="2" t="s">
        <v>628</v>
      </c>
    </row>
    <row r="24" spans="1:14" ht="12.75" customHeight="1" x14ac:dyDescent="0.35">
      <c r="A24" s="2" t="s">
        <v>378</v>
      </c>
      <c r="B24" s="2" t="s">
        <v>94</v>
      </c>
      <c r="C24" s="2" t="s">
        <v>629</v>
      </c>
      <c r="D24" s="6"/>
      <c r="E24" s="2"/>
      <c r="F24" s="2"/>
      <c r="G24" s="2"/>
      <c r="H24" s="2"/>
      <c r="I24" s="2"/>
      <c r="J24" s="1">
        <v>94678.750954999996</v>
      </c>
      <c r="K24" s="3">
        <f>J24/6</f>
        <v>15779.791825833332</v>
      </c>
      <c r="L24" s="9"/>
      <c r="M24" s="2" t="s">
        <v>630</v>
      </c>
    </row>
    <row r="26" spans="1:14" x14ac:dyDescent="0.35">
      <c r="A26" s="156" t="s">
        <v>103</v>
      </c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</row>
    <row r="27" spans="1:14" ht="15" customHeight="1" x14ac:dyDescent="0.35">
      <c r="A27" s="5" t="s">
        <v>72</v>
      </c>
      <c r="B27" s="5" t="s">
        <v>73</v>
      </c>
      <c r="C27" s="5" t="s">
        <v>169</v>
      </c>
      <c r="D27" s="5" t="s">
        <v>167</v>
      </c>
      <c r="E27" s="5" t="s">
        <v>168</v>
      </c>
      <c r="F27" s="5" t="s">
        <v>74</v>
      </c>
      <c r="G27" s="5" t="s">
        <v>75</v>
      </c>
      <c r="H27" s="5" t="s">
        <v>126</v>
      </c>
      <c r="I27" s="5" t="s">
        <v>125</v>
      </c>
      <c r="J27" s="5" t="s">
        <v>122</v>
      </c>
      <c r="K27" s="5" t="s">
        <v>123</v>
      </c>
      <c r="L27" s="5" t="s">
        <v>124</v>
      </c>
      <c r="M27" s="5" t="s">
        <v>76</v>
      </c>
      <c r="N27" s="5" t="s">
        <v>77</v>
      </c>
    </row>
    <row r="28" spans="1:14" ht="29" x14ac:dyDescent="0.35">
      <c r="A28" s="6" t="s">
        <v>631</v>
      </c>
      <c r="B28" s="13">
        <v>2</v>
      </c>
      <c r="C28" s="13">
        <v>97</v>
      </c>
      <c r="D28" s="13">
        <v>53</v>
      </c>
      <c r="E28" s="28">
        <v>52</v>
      </c>
      <c r="F28" s="6" t="s">
        <v>632</v>
      </c>
      <c r="G28" s="14" t="s">
        <v>127</v>
      </c>
      <c r="H28" s="6">
        <v>4300</v>
      </c>
      <c r="I28" s="6">
        <v>4300</v>
      </c>
      <c r="J28" s="6">
        <v>3870</v>
      </c>
      <c r="K28" s="6">
        <v>1758</v>
      </c>
      <c r="L28" s="6">
        <v>3870</v>
      </c>
      <c r="M28" s="41" t="s">
        <v>211</v>
      </c>
      <c r="N28" s="41">
        <v>250</v>
      </c>
    </row>
    <row r="30" spans="1:14" x14ac:dyDescent="0.35">
      <c r="A30" s="156" t="s">
        <v>104</v>
      </c>
      <c r="B30" s="156"/>
    </row>
    <row r="31" spans="1:14" x14ac:dyDescent="0.35">
      <c r="A31" s="5" t="s">
        <v>78</v>
      </c>
      <c r="B31" s="5" t="s">
        <v>79</v>
      </c>
      <c r="I31" s="8">
        <f>L28/I28</f>
        <v>0.9</v>
      </c>
    </row>
    <row r="32" spans="1:14" x14ac:dyDescent="0.35">
      <c r="A32" s="2" t="s">
        <v>464</v>
      </c>
      <c r="B32" s="13" t="s">
        <v>633</v>
      </c>
    </row>
    <row r="33" spans="1:7" x14ac:dyDescent="0.35">
      <c r="A33" s="2" t="s">
        <v>297</v>
      </c>
      <c r="B33" s="13">
        <v>1500</v>
      </c>
    </row>
    <row r="36" spans="1:7" x14ac:dyDescent="0.35">
      <c r="A36" s="156" t="s">
        <v>634</v>
      </c>
      <c r="B36" s="156"/>
    </row>
    <row r="37" spans="1:7" x14ac:dyDescent="0.35">
      <c r="A37" s="5" t="s">
        <v>80</v>
      </c>
      <c r="B37" s="5" t="s">
        <v>81</v>
      </c>
    </row>
    <row r="38" spans="1:7" x14ac:dyDescent="0.35">
      <c r="A38" s="2" t="s">
        <v>128</v>
      </c>
      <c r="B38" s="13">
        <v>0</v>
      </c>
    </row>
    <row r="39" spans="1:7" x14ac:dyDescent="0.35">
      <c r="A39" s="2" t="s">
        <v>129</v>
      </c>
      <c r="B39" s="13">
        <v>3434</v>
      </c>
    </row>
    <row r="40" spans="1:7" x14ac:dyDescent="0.35">
      <c r="A40" s="6" t="s">
        <v>106</v>
      </c>
      <c r="B40" s="13">
        <v>2873</v>
      </c>
    </row>
    <row r="42" spans="1:7" x14ac:dyDescent="0.35">
      <c r="A42" s="156" t="s">
        <v>105</v>
      </c>
      <c r="B42" s="156"/>
      <c r="C42" s="156"/>
      <c r="D42" s="156"/>
    </row>
    <row r="43" spans="1:7" s="23" customFormat="1" x14ac:dyDescent="0.35">
      <c r="A43" s="10" t="s">
        <v>82</v>
      </c>
      <c r="B43" s="10" t="s">
        <v>83</v>
      </c>
      <c r="C43" s="10" t="s">
        <v>84</v>
      </c>
      <c r="D43" s="10" t="s">
        <v>85</v>
      </c>
      <c r="F43" s="8"/>
    </row>
    <row r="44" spans="1:7" x14ac:dyDescent="0.35">
      <c r="A44" s="62" t="s">
        <v>635</v>
      </c>
      <c r="B44" s="62" t="s">
        <v>636</v>
      </c>
      <c r="C44" s="62">
        <v>250</v>
      </c>
      <c r="D44" s="22">
        <f>C44*35.3146</f>
        <v>8828.65</v>
      </c>
    </row>
    <row r="45" spans="1:7" x14ac:dyDescent="0.35">
      <c r="A45" s="62" t="s">
        <v>637</v>
      </c>
      <c r="B45" s="62" t="s">
        <v>636</v>
      </c>
      <c r="C45" s="62">
        <v>80</v>
      </c>
      <c r="D45" s="22">
        <f t="shared" ref="D45:D58" si="0">C45*35.3146</f>
        <v>2825.1679999999997</v>
      </c>
    </row>
    <row r="46" spans="1:7" x14ac:dyDescent="0.35">
      <c r="A46" s="62" t="s">
        <v>638</v>
      </c>
      <c r="B46" s="62" t="s">
        <v>636</v>
      </c>
      <c r="C46" s="62">
        <v>80</v>
      </c>
      <c r="D46" s="22">
        <f t="shared" si="0"/>
        <v>2825.1679999999997</v>
      </c>
    </row>
    <row r="47" spans="1:7" x14ac:dyDescent="0.35">
      <c r="A47" s="62" t="s">
        <v>637</v>
      </c>
      <c r="B47" s="62" t="s">
        <v>639</v>
      </c>
      <c r="C47" s="62">
        <v>80</v>
      </c>
      <c r="D47" s="22">
        <f t="shared" si="0"/>
        <v>2825.1679999999997</v>
      </c>
      <c r="F47" s="133"/>
      <c r="G47" s="133"/>
    </row>
    <row r="48" spans="1:7" x14ac:dyDescent="0.35">
      <c r="A48" s="62" t="s">
        <v>638</v>
      </c>
      <c r="B48" s="62" t="s">
        <v>639</v>
      </c>
      <c r="C48" s="62">
        <v>80</v>
      </c>
      <c r="D48" s="22">
        <f t="shared" si="0"/>
        <v>2825.1679999999997</v>
      </c>
      <c r="G48" s="133"/>
    </row>
    <row r="49" spans="1:10" x14ac:dyDescent="0.35">
      <c r="A49" s="62" t="s">
        <v>640</v>
      </c>
      <c r="B49" s="62" t="s">
        <v>641</v>
      </c>
      <c r="C49" s="62">
        <v>25</v>
      </c>
      <c r="D49" s="22">
        <f t="shared" si="0"/>
        <v>882.86500000000001</v>
      </c>
    </row>
    <row r="50" spans="1:10" x14ac:dyDescent="0.35">
      <c r="A50" s="62" t="s">
        <v>642</v>
      </c>
      <c r="B50" s="62" t="s">
        <v>641</v>
      </c>
      <c r="C50" s="62">
        <v>32</v>
      </c>
      <c r="D50" s="22">
        <f t="shared" si="0"/>
        <v>1130.0672</v>
      </c>
    </row>
    <row r="51" spans="1:10" x14ac:dyDescent="0.35">
      <c r="A51" s="62" t="s">
        <v>643</v>
      </c>
      <c r="B51" s="62" t="s">
        <v>641</v>
      </c>
      <c r="C51" s="62">
        <v>12</v>
      </c>
      <c r="D51" s="22">
        <f t="shared" si="0"/>
        <v>423.77519999999998</v>
      </c>
    </row>
    <row r="52" spans="1:10" x14ac:dyDescent="0.35">
      <c r="A52" s="62" t="s">
        <v>644</v>
      </c>
      <c r="B52" s="62" t="s">
        <v>641</v>
      </c>
      <c r="C52" s="62">
        <v>12</v>
      </c>
      <c r="D52" s="22">
        <f t="shared" si="0"/>
        <v>423.77519999999998</v>
      </c>
    </row>
    <row r="53" spans="1:10" x14ac:dyDescent="0.35">
      <c r="A53" s="62" t="s">
        <v>642</v>
      </c>
      <c r="B53" s="62" t="s">
        <v>645</v>
      </c>
      <c r="C53" s="62">
        <v>35</v>
      </c>
      <c r="D53" s="22">
        <f t="shared" si="0"/>
        <v>1236.011</v>
      </c>
    </row>
    <row r="54" spans="1:10" x14ac:dyDescent="0.35">
      <c r="A54" s="62" t="s">
        <v>643</v>
      </c>
      <c r="B54" s="62" t="s">
        <v>645</v>
      </c>
      <c r="C54" s="62">
        <v>12</v>
      </c>
      <c r="D54" s="22">
        <f t="shared" si="0"/>
        <v>423.77519999999998</v>
      </c>
    </row>
    <row r="55" spans="1:10" x14ac:dyDescent="0.35">
      <c r="A55" s="62" t="s">
        <v>644</v>
      </c>
      <c r="B55" s="62" t="s">
        <v>645</v>
      </c>
      <c r="C55" s="62">
        <v>12</v>
      </c>
      <c r="D55" s="22">
        <f t="shared" si="0"/>
        <v>423.77519999999998</v>
      </c>
    </row>
    <row r="56" spans="1:10" x14ac:dyDescent="0.35">
      <c r="A56" s="62" t="s">
        <v>646</v>
      </c>
      <c r="B56" s="62" t="s">
        <v>641</v>
      </c>
      <c r="C56" s="62">
        <v>2</v>
      </c>
      <c r="D56" s="22">
        <f t="shared" si="0"/>
        <v>70.629199999999997</v>
      </c>
    </row>
    <row r="57" spans="1:10" x14ac:dyDescent="0.35">
      <c r="A57" s="62" t="s">
        <v>647</v>
      </c>
      <c r="B57" s="62" t="s">
        <v>476</v>
      </c>
      <c r="C57" s="62">
        <v>5</v>
      </c>
      <c r="D57" s="22">
        <f t="shared" si="0"/>
        <v>176.57299999999998</v>
      </c>
    </row>
    <row r="58" spans="1:10" x14ac:dyDescent="0.35">
      <c r="A58" s="62" t="s">
        <v>648</v>
      </c>
      <c r="B58" s="62" t="s">
        <v>476</v>
      </c>
      <c r="C58" s="62">
        <v>5</v>
      </c>
      <c r="D58" s="22">
        <f t="shared" si="0"/>
        <v>176.57299999999998</v>
      </c>
    </row>
    <row r="60" spans="1:10" x14ac:dyDescent="0.35">
      <c r="A60" s="163" t="s">
        <v>92</v>
      </c>
      <c r="B60" s="164"/>
      <c r="C60" s="164"/>
      <c r="D60" s="165"/>
      <c r="E60" s="10"/>
      <c r="F60" s="10"/>
      <c r="G60" s="10"/>
      <c r="H60" s="10"/>
      <c r="I60" s="10"/>
      <c r="J60" s="10"/>
    </row>
    <row r="61" spans="1:10" s="23" customFormat="1" x14ac:dyDescent="0.35">
      <c r="A61" s="10" t="s">
        <v>22</v>
      </c>
      <c r="B61" s="10" t="s">
        <v>30</v>
      </c>
      <c r="C61" s="10" t="s">
        <v>31</v>
      </c>
      <c r="D61" s="10" t="s">
        <v>32</v>
      </c>
      <c r="E61" s="10" t="s">
        <v>33</v>
      </c>
      <c r="F61" s="10" t="s">
        <v>34</v>
      </c>
      <c r="G61" s="10" t="s">
        <v>35</v>
      </c>
      <c r="H61" s="10" t="s">
        <v>36</v>
      </c>
      <c r="I61" s="10" t="s">
        <v>37</v>
      </c>
      <c r="J61" s="10" t="s">
        <v>38</v>
      </c>
    </row>
    <row r="62" spans="1:10" x14ac:dyDescent="0.35">
      <c r="A62" s="2" t="s">
        <v>284</v>
      </c>
      <c r="B62" s="15">
        <v>72</v>
      </c>
      <c r="C62" s="15">
        <v>72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</row>
    <row r="63" spans="1:10" x14ac:dyDescent="0.35">
      <c r="A63" s="2" t="s">
        <v>649</v>
      </c>
      <c r="B63" s="15">
        <v>72</v>
      </c>
      <c r="C63" s="15">
        <v>72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</row>
    <row r="64" spans="1:10" x14ac:dyDescent="0.35">
      <c r="A64" s="6" t="s">
        <v>650</v>
      </c>
      <c r="B64" s="15">
        <v>72</v>
      </c>
      <c r="C64" s="15">
        <v>72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</row>
    <row r="65" spans="1:12" x14ac:dyDescent="0.35">
      <c r="A65" s="2" t="s">
        <v>651</v>
      </c>
      <c r="B65" s="15">
        <v>72</v>
      </c>
      <c r="C65" s="15">
        <v>72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</row>
    <row r="66" spans="1:12" x14ac:dyDescent="0.35">
      <c r="A66" s="2" t="s">
        <v>652</v>
      </c>
      <c r="B66" s="15">
        <v>72</v>
      </c>
      <c r="C66" s="15">
        <v>72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2</v>
      </c>
    </row>
    <row r="67" spans="1:12" x14ac:dyDescent="0.35">
      <c r="A67" s="2" t="s">
        <v>653</v>
      </c>
      <c r="B67" s="15">
        <v>72</v>
      </c>
      <c r="C67" s="15">
        <v>72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</row>
    <row r="68" spans="1:12" x14ac:dyDescent="0.35">
      <c r="A68" s="6" t="s">
        <v>654</v>
      </c>
      <c r="B68" s="15">
        <v>72</v>
      </c>
      <c r="C68" s="15">
        <v>72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</row>
    <row r="69" spans="1:12" x14ac:dyDescent="0.35">
      <c r="A69" s="6" t="s">
        <v>655</v>
      </c>
      <c r="B69" s="15">
        <v>129</v>
      </c>
      <c r="C69" s="15">
        <v>129</v>
      </c>
      <c r="D69" s="15">
        <v>0</v>
      </c>
      <c r="E69" s="15">
        <v>129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</row>
    <row r="70" spans="1:12" x14ac:dyDescent="0.35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2" x14ac:dyDescent="0.35">
      <c r="A71" s="163" t="s">
        <v>109</v>
      </c>
      <c r="B71" s="164"/>
      <c r="C71" s="164"/>
      <c r="D71" s="165"/>
      <c r="E71" s="10"/>
      <c r="F71" s="10"/>
      <c r="G71" s="10"/>
      <c r="H71" s="10"/>
      <c r="I71" s="10"/>
      <c r="J71" s="10"/>
    </row>
    <row r="72" spans="1:12" s="23" customFormat="1" x14ac:dyDescent="0.35">
      <c r="A72" s="10" t="s">
        <v>22</v>
      </c>
      <c r="B72" s="10" t="s">
        <v>30</v>
      </c>
      <c r="C72" s="10" t="s">
        <v>31</v>
      </c>
      <c r="D72" s="10" t="s">
        <v>32</v>
      </c>
      <c r="E72" s="10" t="s">
        <v>33</v>
      </c>
      <c r="F72" s="10" t="s">
        <v>34</v>
      </c>
      <c r="G72" s="10" t="s">
        <v>35</v>
      </c>
      <c r="H72" s="10" t="s">
        <v>36</v>
      </c>
      <c r="I72" s="10" t="s">
        <v>37</v>
      </c>
      <c r="J72" s="10" t="s">
        <v>38</v>
      </c>
    </row>
    <row r="73" spans="1:12" x14ac:dyDescent="0.35">
      <c r="A73" s="17">
        <v>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</row>
    <row r="74" spans="1:12" x14ac:dyDescent="0.35">
      <c r="A74" s="13">
        <v>0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</row>
    <row r="75" spans="1:12" x14ac:dyDescent="0.35">
      <c r="B75" s="6"/>
      <c r="C75" s="6"/>
      <c r="D75" s="6"/>
      <c r="E75" s="6"/>
      <c r="F75" s="6"/>
      <c r="G75" s="6"/>
      <c r="H75" s="6"/>
      <c r="I75" s="6"/>
      <c r="J75" s="6"/>
    </row>
    <row r="76" spans="1:12" s="23" customFormat="1" x14ac:dyDescent="0.35">
      <c r="B76" s="12" t="s">
        <v>25</v>
      </c>
      <c r="C76" s="10" t="s">
        <v>26</v>
      </c>
      <c r="D76" s="12" t="s">
        <v>27</v>
      </c>
      <c r="E76" s="10" t="s">
        <v>26</v>
      </c>
      <c r="F76" s="152" t="s">
        <v>26</v>
      </c>
      <c r="G76" s="152" t="s">
        <v>26</v>
      </c>
      <c r="H76" s="135" t="s">
        <v>28</v>
      </c>
      <c r="I76" s="10" t="s">
        <v>26</v>
      </c>
      <c r="J76" s="12" t="s">
        <v>29</v>
      </c>
      <c r="K76" s="10" t="s">
        <v>138</v>
      </c>
      <c r="L76" s="10" t="s">
        <v>26</v>
      </c>
    </row>
    <row r="77" spans="1:12" x14ac:dyDescent="0.35">
      <c r="A77" s="6" t="s">
        <v>656</v>
      </c>
      <c r="B77" s="6" t="s">
        <v>136</v>
      </c>
      <c r="C77" s="13">
        <v>8</v>
      </c>
      <c r="D77" s="6" t="s">
        <v>95</v>
      </c>
      <c r="E77" s="13">
        <v>5</v>
      </c>
      <c r="F77" s="153">
        <v>3</v>
      </c>
      <c r="G77" s="153">
        <v>2</v>
      </c>
      <c r="H77" s="150" t="s">
        <v>97</v>
      </c>
      <c r="I77" s="13">
        <v>1</v>
      </c>
      <c r="J77" s="7"/>
      <c r="K77" s="15">
        <v>0</v>
      </c>
      <c r="L77" s="15">
        <v>0</v>
      </c>
    </row>
    <row r="78" spans="1:12" x14ac:dyDescent="0.35">
      <c r="A78" s="6"/>
      <c r="B78" s="6"/>
      <c r="C78" s="6"/>
      <c r="D78" s="6" t="s">
        <v>161</v>
      </c>
      <c r="E78" s="13">
        <v>5</v>
      </c>
      <c r="F78" s="153">
        <v>3</v>
      </c>
      <c r="G78" s="153">
        <v>2</v>
      </c>
      <c r="H78" s="150" t="s">
        <v>98</v>
      </c>
      <c r="I78" s="13">
        <v>1</v>
      </c>
      <c r="J78" s="7"/>
      <c r="K78" s="15">
        <v>0</v>
      </c>
      <c r="L78" s="15">
        <v>0</v>
      </c>
    </row>
    <row r="79" spans="1:12" x14ac:dyDescent="0.35">
      <c r="A79" s="6"/>
      <c r="B79" s="6"/>
      <c r="C79" s="6"/>
      <c r="D79" s="2" t="s">
        <v>96</v>
      </c>
      <c r="E79" s="13">
        <v>4</v>
      </c>
      <c r="F79" s="153">
        <v>2</v>
      </c>
      <c r="G79" s="153">
        <v>2</v>
      </c>
      <c r="H79" s="150" t="s">
        <v>137</v>
      </c>
      <c r="I79" s="13">
        <v>0</v>
      </c>
      <c r="J79" s="7"/>
      <c r="K79" s="15">
        <v>0</v>
      </c>
      <c r="L79" s="15">
        <v>0</v>
      </c>
    </row>
    <row r="80" spans="1:12" x14ac:dyDescent="0.35">
      <c r="D80" s="2" t="s">
        <v>163</v>
      </c>
      <c r="E80" s="28">
        <v>72</v>
      </c>
      <c r="F80" s="153">
        <f>E80/2</f>
        <v>36</v>
      </c>
      <c r="G80" s="153">
        <v>36</v>
      </c>
      <c r="H80" s="150" t="s">
        <v>165</v>
      </c>
      <c r="I80" s="13">
        <v>1</v>
      </c>
      <c r="K80" s="23"/>
      <c r="L80" s="23"/>
    </row>
    <row r="81" spans="1:12" ht="29" x14ac:dyDescent="0.35">
      <c r="D81" s="2" t="s">
        <v>164</v>
      </c>
      <c r="E81" s="13">
        <v>0</v>
      </c>
      <c r="F81" s="153">
        <v>0</v>
      </c>
      <c r="G81" s="153">
        <v>0</v>
      </c>
      <c r="H81" s="151" t="s">
        <v>166</v>
      </c>
      <c r="I81" s="15">
        <v>2</v>
      </c>
      <c r="K81" s="23"/>
      <c r="L81" s="23"/>
    </row>
    <row r="82" spans="1:12" x14ac:dyDescent="0.35">
      <c r="D82" s="2" t="s">
        <v>162</v>
      </c>
      <c r="E82" s="13">
        <v>4</v>
      </c>
      <c r="F82" s="153">
        <v>2</v>
      </c>
      <c r="G82" s="153">
        <v>2</v>
      </c>
      <c r="H82" s="29"/>
      <c r="I82" s="23"/>
      <c r="K82" s="23"/>
      <c r="L82" s="23"/>
    </row>
    <row r="83" spans="1:12" ht="29" x14ac:dyDescent="0.35">
      <c r="D83" s="2" t="s">
        <v>170</v>
      </c>
      <c r="E83" s="13">
        <v>1</v>
      </c>
      <c r="F83" s="153">
        <v>1</v>
      </c>
      <c r="G83" s="153">
        <v>0</v>
      </c>
    </row>
    <row r="85" spans="1:12" x14ac:dyDescent="0.35">
      <c r="A85" s="166" t="s">
        <v>101</v>
      </c>
      <c r="B85" s="167"/>
      <c r="C85" s="167"/>
      <c r="D85" s="167"/>
      <c r="E85" s="167"/>
      <c r="F85" s="168"/>
    </row>
    <row r="86" spans="1:12" ht="29" x14ac:dyDescent="0.35">
      <c r="A86" s="5" t="s">
        <v>10</v>
      </c>
      <c r="B86" s="5" t="s">
        <v>22</v>
      </c>
      <c r="C86" s="5" t="s">
        <v>24</v>
      </c>
      <c r="D86" s="5" t="s">
        <v>61</v>
      </c>
      <c r="E86" s="5" t="s">
        <v>62</v>
      </c>
      <c r="F86" s="5" t="s">
        <v>63</v>
      </c>
    </row>
    <row r="87" spans="1:12" x14ac:dyDescent="0.35">
      <c r="A87" s="2" t="s">
        <v>620</v>
      </c>
      <c r="B87" s="2" t="s">
        <v>279</v>
      </c>
      <c r="C87" s="1"/>
      <c r="D87" s="24"/>
      <c r="E87" s="63">
        <v>15015</v>
      </c>
      <c r="F87" s="25"/>
    </row>
    <row r="88" spans="1:12" x14ac:dyDescent="0.35">
      <c r="A88" s="2"/>
      <c r="B88" s="2" t="s">
        <v>280</v>
      </c>
      <c r="C88" s="26"/>
      <c r="D88" s="25"/>
      <c r="E88" s="63">
        <v>65610</v>
      </c>
      <c r="F88" s="25"/>
      <c r="H88" s="169"/>
      <c r="I88" s="169"/>
      <c r="J88" s="169"/>
      <c r="K88" s="169"/>
    </row>
    <row r="89" spans="1:12" x14ac:dyDescent="0.35">
      <c r="A89" s="2"/>
      <c r="B89" s="2" t="s">
        <v>281</v>
      </c>
      <c r="C89" s="1"/>
      <c r="D89" s="24"/>
      <c r="E89" s="63">
        <v>74091</v>
      </c>
      <c r="F89" s="25"/>
    </row>
    <row r="90" spans="1:12" ht="15" customHeight="1" x14ac:dyDescent="0.35">
      <c r="A90" s="2"/>
      <c r="B90" s="2" t="s">
        <v>282</v>
      </c>
      <c r="C90" s="1"/>
      <c r="D90" s="24"/>
      <c r="E90" s="63">
        <v>74091</v>
      </c>
      <c r="F90" s="25"/>
    </row>
    <row r="91" spans="1:12" x14ac:dyDescent="0.35">
      <c r="A91" s="2"/>
      <c r="B91" s="2" t="s">
        <v>287</v>
      </c>
      <c r="C91" s="26"/>
      <c r="D91" s="25"/>
      <c r="E91" s="63">
        <v>74091</v>
      </c>
      <c r="F91" s="25"/>
    </row>
    <row r="92" spans="1:12" x14ac:dyDescent="0.35">
      <c r="A92" s="2"/>
      <c r="B92" s="2" t="s">
        <v>288</v>
      </c>
      <c r="C92" s="1"/>
      <c r="D92" s="25"/>
      <c r="E92" s="63">
        <v>74291</v>
      </c>
      <c r="F92" s="25"/>
      <c r="G92" s="9"/>
    </row>
    <row r="93" spans="1:12" x14ac:dyDescent="0.35">
      <c r="A93" s="2"/>
      <c r="B93" s="2" t="s">
        <v>289</v>
      </c>
      <c r="C93" s="1"/>
      <c r="D93" s="24"/>
      <c r="E93" s="63">
        <v>74342</v>
      </c>
      <c r="F93" s="25"/>
      <c r="G93" s="9"/>
    </row>
    <row r="94" spans="1:12" x14ac:dyDescent="0.35">
      <c r="A94" s="2"/>
      <c r="B94" s="2" t="s">
        <v>290</v>
      </c>
      <c r="C94" s="1"/>
      <c r="D94" s="24"/>
      <c r="E94" s="63">
        <v>74342</v>
      </c>
      <c r="F94" s="25"/>
      <c r="G94" s="9"/>
    </row>
    <row r="95" spans="1:12" x14ac:dyDescent="0.35">
      <c r="A95" s="2"/>
      <c r="B95" s="2" t="s">
        <v>291</v>
      </c>
      <c r="C95" s="1"/>
      <c r="D95" s="24"/>
      <c r="E95" s="63">
        <v>46877</v>
      </c>
      <c r="F95" s="25"/>
      <c r="G95" s="9"/>
    </row>
    <row r="97" spans="1:14" x14ac:dyDescent="0.35">
      <c r="A97" s="155" t="s">
        <v>108</v>
      </c>
      <c r="B97" s="155"/>
      <c r="C97" s="155"/>
      <c r="D97" s="155"/>
      <c r="E97" s="155"/>
      <c r="F97" s="155"/>
    </row>
    <row r="99" spans="1:14" x14ac:dyDescent="0.35">
      <c r="A99" s="156" t="s">
        <v>100</v>
      </c>
      <c r="B99" s="156"/>
      <c r="C99" s="156"/>
      <c r="D99" s="156"/>
      <c r="E99" s="156"/>
      <c r="F99" s="156"/>
      <c r="G99" s="156"/>
      <c r="H99" s="156"/>
      <c r="I99" s="156"/>
      <c r="J99" s="156"/>
    </row>
    <row r="100" spans="1:14" ht="43.5" x14ac:dyDescent="0.35">
      <c r="A100" s="5" t="s">
        <v>51</v>
      </c>
      <c r="B100" s="5" t="s">
        <v>52</v>
      </c>
      <c r="C100" s="5" t="s">
        <v>53</v>
      </c>
      <c r="D100" s="5" t="s">
        <v>54</v>
      </c>
      <c r="E100" s="5" t="s">
        <v>55</v>
      </c>
      <c r="F100" s="5" t="s">
        <v>56</v>
      </c>
      <c r="G100" s="5" t="s">
        <v>57</v>
      </c>
      <c r="H100" s="5" t="s">
        <v>58</v>
      </c>
      <c r="I100" s="5" t="s">
        <v>59</v>
      </c>
      <c r="J100" s="5" t="s">
        <v>60</v>
      </c>
    </row>
    <row r="101" spans="1:14" x14ac:dyDescent="0.35">
      <c r="A101" s="6" t="s">
        <v>239</v>
      </c>
      <c r="B101" s="6" t="s">
        <v>239</v>
      </c>
      <c r="C101" s="15"/>
      <c r="D101" s="15"/>
      <c r="E101" s="15">
        <v>2021</v>
      </c>
      <c r="F101" s="15">
        <v>62</v>
      </c>
      <c r="G101" s="15">
        <f t="shared" ref="G101:G106" si="1">(F101+E101)</f>
        <v>2083</v>
      </c>
      <c r="H101" s="15">
        <v>361</v>
      </c>
      <c r="I101" s="15">
        <v>0</v>
      </c>
      <c r="J101" s="15">
        <v>361</v>
      </c>
    </row>
    <row r="102" spans="1:14" x14ac:dyDescent="0.35">
      <c r="A102" s="6" t="s">
        <v>237</v>
      </c>
      <c r="B102" s="6" t="s">
        <v>237</v>
      </c>
      <c r="C102" s="15"/>
      <c r="D102" s="15"/>
      <c r="E102" s="15">
        <v>701</v>
      </c>
      <c r="F102" s="15">
        <v>50</v>
      </c>
      <c r="G102" s="15">
        <f t="shared" si="1"/>
        <v>751</v>
      </c>
      <c r="H102" s="15">
        <v>90</v>
      </c>
      <c r="I102" s="15">
        <v>0</v>
      </c>
      <c r="J102" s="15">
        <v>90</v>
      </c>
    </row>
    <row r="103" spans="1:14" x14ac:dyDescent="0.35">
      <c r="A103" s="6" t="s">
        <v>657</v>
      </c>
      <c r="B103" s="6" t="s">
        <v>657</v>
      </c>
      <c r="C103" s="15"/>
      <c r="D103" s="15"/>
      <c r="E103" s="15">
        <v>386</v>
      </c>
      <c r="F103" s="15">
        <v>26</v>
      </c>
      <c r="G103" s="15">
        <f t="shared" si="1"/>
        <v>412</v>
      </c>
      <c r="H103" s="15">
        <v>52</v>
      </c>
      <c r="I103" s="15">
        <v>0</v>
      </c>
      <c r="J103" s="15">
        <v>52</v>
      </c>
    </row>
    <row r="104" spans="1:14" x14ac:dyDescent="0.35">
      <c r="A104" s="6" t="s">
        <v>658</v>
      </c>
      <c r="B104" s="6" t="s">
        <v>658</v>
      </c>
      <c r="C104" s="15"/>
      <c r="D104" s="15"/>
      <c r="E104" s="15">
        <v>339</v>
      </c>
      <c r="F104" s="15">
        <v>15</v>
      </c>
      <c r="G104" s="15">
        <f t="shared" si="1"/>
        <v>354</v>
      </c>
      <c r="H104" s="15">
        <v>54</v>
      </c>
      <c r="I104" s="15">
        <v>0</v>
      </c>
      <c r="J104" s="15">
        <v>54</v>
      </c>
    </row>
    <row r="105" spans="1:14" x14ac:dyDescent="0.35">
      <c r="A105" s="6" t="s">
        <v>659</v>
      </c>
      <c r="B105" s="6" t="s">
        <v>659</v>
      </c>
      <c r="C105" s="15"/>
      <c r="D105" s="15"/>
      <c r="E105" s="15">
        <v>365</v>
      </c>
      <c r="F105" s="15">
        <v>49</v>
      </c>
      <c r="G105" s="15">
        <f t="shared" si="1"/>
        <v>414</v>
      </c>
      <c r="H105" s="15">
        <v>56</v>
      </c>
      <c r="I105" s="15">
        <v>0</v>
      </c>
      <c r="J105" s="15">
        <v>56</v>
      </c>
    </row>
    <row r="106" spans="1:14" x14ac:dyDescent="0.35">
      <c r="A106" s="6" t="s">
        <v>660</v>
      </c>
      <c r="B106" s="6" t="s">
        <v>660</v>
      </c>
      <c r="C106" s="15"/>
      <c r="D106" s="15"/>
      <c r="E106" s="15">
        <v>71</v>
      </c>
      <c r="F106" s="15">
        <v>4</v>
      </c>
      <c r="G106" s="15">
        <f t="shared" si="1"/>
        <v>75</v>
      </c>
      <c r="H106" s="15">
        <v>23</v>
      </c>
      <c r="I106" s="15">
        <v>0</v>
      </c>
      <c r="J106" s="15">
        <v>23</v>
      </c>
    </row>
    <row r="107" spans="1:14" x14ac:dyDescent="0.35">
      <c r="A107" s="6"/>
      <c r="B107" s="6"/>
      <c r="C107" s="13"/>
      <c r="D107" s="13"/>
      <c r="E107" s="13"/>
      <c r="F107" s="13"/>
      <c r="G107" s="13"/>
      <c r="H107" s="13"/>
      <c r="I107" s="13"/>
      <c r="J107" s="13"/>
    </row>
    <row r="108" spans="1:14" x14ac:dyDescent="0.35">
      <c r="N108" s="11"/>
    </row>
    <row r="109" spans="1:14" x14ac:dyDescent="0.35">
      <c r="A109" s="156" t="s">
        <v>102</v>
      </c>
      <c r="B109" s="156"/>
      <c r="C109" s="156"/>
      <c r="D109" s="156"/>
      <c r="N109" s="11"/>
    </row>
    <row r="110" spans="1:14" x14ac:dyDescent="0.35">
      <c r="A110" s="5" t="s">
        <v>68</v>
      </c>
      <c r="B110" s="5" t="s">
        <v>69</v>
      </c>
      <c r="C110" s="5" t="s">
        <v>70</v>
      </c>
      <c r="D110" s="5" t="s">
        <v>71</v>
      </c>
      <c r="N110" s="11"/>
    </row>
    <row r="111" spans="1:14" x14ac:dyDescent="0.35">
      <c r="A111" s="6"/>
      <c r="B111" s="13"/>
      <c r="C111" s="6"/>
      <c r="D111" s="6"/>
      <c r="N111" s="11"/>
    </row>
    <row r="112" spans="1:14" x14ac:dyDescent="0.35">
      <c r="A112" s="6"/>
      <c r="B112" s="13"/>
      <c r="C112" s="6"/>
      <c r="D112" s="6"/>
      <c r="N112" s="11"/>
    </row>
    <row r="113" spans="1:14" x14ac:dyDescent="0.35">
      <c r="A113" s="6"/>
      <c r="B113" s="13"/>
      <c r="C113" s="6"/>
      <c r="D113" s="6"/>
      <c r="N113" s="11"/>
    </row>
    <row r="114" spans="1:14" x14ac:dyDescent="0.35">
      <c r="A114" s="6"/>
      <c r="B114" s="13"/>
      <c r="C114" s="6"/>
      <c r="D114" s="6"/>
      <c r="N114" s="11"/>
    </row>
    <row r="115" spans="1:14" x14ac:dyDescent="0.35">
      <c r="A115" s="6"/>
      <c r="B115" s="6"/>
      <c r="C115" s="6"/>
      <c r="D115" s="6"/>
      <c r="N115" s="11"/>
    </row>
    <row r="117" spans="1:14" x14ac:dyDescent="0.35">
      <c r="A117" s="6"/>
      <c r="B117" s="6"/>
      <c r="C117" s="6"/>
      <c r="D117" s="6"/>
      <c r="E117" s="6"/>
    </row>
    <row r="118" spans="1:14" x14ac:dyDescent="0.35">
      <c r="A118" s="5" t="s">
        <v>51</v>
      </c>
      <c r="B118" s="5" t="s">
        <v>64</v>
      </c>
      <c r="C118" s="5" t="s">
        <v>65</v>
      </c>
      <c r="D118" s="5" t="s">
        <v>66</v>
      </c>
      <c r="E118" s="5" t="s">
        <v>67</v>
      </c>
    </row>
    <row r="119" spans="1:14" x14ac:dyDescent="0.35">
      <c r="A119" s="7" t="s">
        <v>239</v>
      </c>
      <c r="B119" s="7" t="s">
        <v>661</v>
      </c>
      <c r="C119" s="46" t="s">
        <v>662</v>
      </c>
      <c r="D119" s="7">
        <v>9845853763</v>
      </c>
      <c r="E119" s="7" t="s">
        <v>503</v>
      </c>
    </row>
    <row r="120" spans="1:14" ht="29" x14ac:dyDescent="0.35">
      <c r="A120" s="7" t="s">
        <v>232</v>
      </c>
      <c r="B120" s="7" t="s">
        <v>811</v>
      </c>
      <c r="C120" s="35" t="s">
        <v>255</v>
      </c>
      <c r="D120" s="7">
        <v>8105350591</v>
      </c>
      <c r="E120" s="7" t="s">
        <v>503</v>
      </c>
    </row>
    <row r="121" spans="1:14" ht="29" x14ac:dyDescent="0.35">
      <c r="A121" s="7" t="s">
        <v>657</v>
      </c>
      <c r="B121" s="7" t="s">
        <v>663</v>
      </c>
      <c r="C121" s="35" t="s">
        <v>664</v>
      </c>
      <c r="D121" s="7">
        <v>9845572096</v>
      </c>
      <c r="E121" s="7" t="s">
        <v>665</v>
      </c>
    </row>
    <row r="122" spans="1:14" ht="29" x14ac:dyDescent="0.35">
      <c r="A122" s="7" t="s">
        <v>658</v>
      </c>
      <c r="B122" s="7" t="s">
        <v>666</v>
      </c>
      <c r="C122" s="35" t="s">
        <v>667</v>
      </c>
      <c r="D122" s="7">
        <v>6379773847</v>
      </c>
      <c r="E122" s="7" t="s">
        <v>668</v>
      </c>
    </row>
    <row r="123" spans="1:14" ht="29" x14ac:dyDescent="0.35">
      <c r="A123" s="7" t="s">
        <v>659</v>
      </c>
      <c r="B123" s="7" t="s">
        <v>669</v>
      </c>
      <c r="C123" s="35" t="s">
        <v>670</v>
      </c>
      <c r="D123" s="64" t="s">
        <v>671</v>
      </c>
      <c r="E123" s="7" t="s">
        <v>672</v>
      </c>
    </row>
    <row r="124" spans="1:14" ht="29" x14ac:dyDescent="0.35">
      <c r="A124" s="7" t="s">
        <v>660</v>
      </c>
      <c r="B124" s="7" t="s">
        <v>812</v>
      </c>
      <c r="C124" s="35" t="s">
        <v>673</v>
      </c>
      <c r="D124" s="7">
        <v>9845188043</v>
      </c>
      <c r="E124" s="7" t="s">
        <v>503</v>
      </c>
    </row>
    <row r="126" spans="1:14" x14ac:dyDescent="0.35">
      <c r="A126" s="157" t="s">
        <v>99</v>
      </c>
      <c r="B126" s="158"/>
      <c r="C126" s="158"/>
      <c r="D126" s="158"/>
      <c r="E126" s="158"/>
      <c r="F126" s="158"/>
      <c r="G126" s="158"/>
      <c r="H126" s="158"/>
      <c r="I126" s="158"/>
      <c r="J126" s="158"/>
      <c r="K126" s="158"/>
      <c r="L126" s="159"/>
    </row>
    <row r="127" spans="1:14" x14ac:dyDescent="0.35">
      <c r="A127" s="160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2"/>
    </row>
    <row r="128" spans="1:14" ht="29" x14ac:dyDescent="0.35">
      <c r="A128" s="5" t="s">
        <v>39</v>
      </c>
      <c r="B128" s="5" t="s">
        <v>40</v>
      </c>
      <c r="C128" s="5" t="s">
        <v>41</v>
      </c>
      <c r="D128" s="5" t="s">
        <v>42</v>
      </c>
      <c r="E128" s="5" t="s">
        <v>43</v>
      </c>
      <c r="F128" s="5" t="s">
        <v>44</v>
      </c>
      <c r="G128" s="5" t="s">
        <v>45</v>
      </c>
      <c r="H128" s="5" t="s">
        <v>46</v>
      </c>
      <c r="I128" s="5" t="s">
        <v>47</v>
      </c>
      <c r="J128" s="5" t="s">
        <v>48</v>
      </c>
      <c r="K128" s="5" t="s">
        <v>49</v>
      </c>
      <c r="L128" s="5" t="s">
        <v>50</v>
      </c>
    </row>
    <row r="129" spans="1:12" ht="29" x14ac:dyDescent="0.35">
      <c r="A129" s="6" t="s">
        <v>115</v>
      </c>
      <c r="B129" s="6" t="s">
        <v>674</v>
      </c>
      <c r="C129" s="6" t="s">
        <v>675</v>
      </c>
      <c r="D129" s="7"/>
      <c r="E129" s="7" t="s">
        <v>676</v>
      </c>
      <c r="F129" s="6" t="s">
        <v>346</v>
      </c>
      <c r="G129" s="6" t="s">
        <v>508</v>
      </c>
      <c r="H129" s="6" t="s">
        <v>227</v>
      </c>
      <c r="I129" s="6" t="s">
        <v>228</v>
      </c>
      <c r="J129" s="6"/>
      <c r="K129" s="7"/>
      <c r="L129" s="6" t="s">
        <v>139</v>
      </c>
    </row>
    <row r="150" spans="3:3" x14ac:dyDescent="0.35">
      <c r="C150" s="8" t="s">
        <v>141</v>
      </c>
    </row>
    <row r="151" spans="3:3" x14ac:dyDescent="0.35">
      <c r="C151" s="8" t="s">
        <v>142</v>
      </c>
    </row>
    <row r="152" spans="3:3" ht="29" x14ac:dyDescent="0.35">
      <c r="C152" s="8" t="s">
        <v>143</v>
      </c>
    </row>
    <row r="153" spans="3:3" ht="29" x14ac:dyDescent="0.35">
      <c r="C153" s="8" t="s">
        <v>144</v>
      </c>
    </row>
    <row r="154" spans="3:3" ht="29" x14ac:dyDescent="0.35">
      <c r="C154" s="8" t="s">
        <v>145</v>
      </c>
    </row>
    <row r="155" spans="3:3" ht="29" x14ac:dyDescent="0.35">
      <c r="C155" s="8" t="s">
        <v>146</v>
      </c>
    </row>
    <row r="156" spans="3:3" x14ac:dyDescent="0.35">
      <c r="C156" s="8" t="s">
        <v>147</v>
      </c>
    </row>
    <row r="157" spans="3:3" x14ac:dyDescent="0.35">
      <c r="C157" s="8" t="s">
        <v>148</v>
      </c>
    </row>
    <row r="158" spans="3:3" x14ac:dyDescent="0.35">
      <c r="C158" s="8" t="s">
        <v>149</v>
      </c>
    </row>
    <row r="159" spans="3:3" x14ac:dyDescent="0.35">
      <c r="C159" s="8" t="s">
        <v>150</v>
      </c>
    </row>
    <row r="160" spans="3:3" x14ac:dyDescent="0.35">
      <c r="C160" s="8" t="s">
        <v>151</v>
      </c>
    </row>
    <row r="161" spans="3:3" x14ac:dyDescent="0.35">
      <c r="C161" s="8" t="s">
        <v>152</v>
      </c>
    </row>
    <row r="162" spans="3:3" x14ac:dyDescent="0.35">
      <c r="C162" s="8" t="s">
        <v>153</v>
      </c>
    </row>
    <row r="163" spans="3:3" x14ac:dyDescent="0.35">
      <c r="C163" s="8" t="s">
        <v>154</v>
      </c>
    </row>
    <row r="164" spans="3:3" ht="29" x14ac:dyDescent="0.35">
      <c r="C164" s="8" t="s">
        <v>155</v>
      </c>
    </row>
    <row r="165" spans="3:3" ht="29" x14ac:dyDescent="0.35">
      <c r="C165" s="8" t="s">
        <v>156</v>
      </c>
    </row>
  </sheetData>
  <mergeCells count="13">
    <mergeCell ref="A109:D109"/>
    <mergeCell ref="A126:L127"/>
    <mergeCell ref="A60:D60"/>
    <mergeCell ref="A71:D71"/>
    <mergeCell ref="A85:F85"/>
    <mergeCell ref="H88:K88"/>
    <mergeCell ref="A97:F97"/>
    <mergeCell ref="A99:J99"/>
    <mergeCell ref="A42:D42"/>
    <mergeCell ref="A1:L2"/>
    <mergeCell ref="A26:L26"/>
    <mergeCell ref="A30:B30"/>
    <mergeCell ref="A36:B36"/>
  </mergeCells>
  <hyperlinks>
    <hyperlink ref="C119" r:id="rId1" xr:uid="{00000000-0004-0000-0600-000000000000}"/>
    <hyperlink ref="C120" r:id="rId2" xr:uid="{00000000-0004-0000-0600-000001000000}"/>
    <hyperlink ref="C121" r:id="rId3" xr:uid="{00000000-0004-0000-0600-000002000000}"/>
    <hyperlink ref="C122" r:id="rId4" xr:uid="{00000000-0004-0000-0600-000003000000}"/>
    <hyperlink ref="C123" r:id="rId5" xr:uid="{00000000-0004-0000-0600-000004000000}"/>
    <hyperlink ref="C124" r:id="rId6" xr:uid="{00000000-0004-0000-0600-000005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53"/>
  <sheetViews>
    <sheetView topLeftCell="F40" workbookViewId="0">
      <selection activeCell="K48" sqref="I48:K52"/>
    </sheetView>
  </sheetViews>
  <sheetFormatPr defaultRowHeight="15" thickBottom="1" x14ac:dyDescent="0.4"/>
  <cols>
    <col min="2" max="2" width="20.81640625" customWidth="1"/>
    <col min="3" max="3" width="13.7265625" style="116" customWidth="1"/>
    <col min="4" max="4" width="19.453125" bestFit="1" customWidth="1"/>
    <col min="6" max="6" width="11" bestFit="1" customWidth="1"/>
    <col min="9" max="9" width="21" style="122" customWidth="1"/>
    <col min="10" max="10" width="19.54296875" customWidth="1"/>
    <col min="11" max="11" width="33.08984375" bestFit="1" customWidth="1"/>
    <col min="12" max="12" width="12.7265625" bestFit="1" customWidth="1"/>
    <col min="19" max="19" width="8.1796875" customWidth="1"/>
  </cols>
  <sheetData>
    <row r="1" spans="1:19" ht="14.5" x14ac:dyDescent="0.35">
      <c r="B1" s="74"/>
      <c r="C1" s="93"/>
      <c r="D1" s="75"/>
      <c r="E1" s="75"/>
      <c r="F1" s="173" t="s">
        <v>706</v>
      </c>
      <c r="G1" s="173"/>
      <c r="H1" s="173"/>
      <c r="I1" s="94"/>
      <c r="J1" s="174" t="s">
        <v>707</v>
      </c>
      <c r="K1" s="174"/>
      <c r="L1" s="174"/>
      <c r="M1" s="174"/>
      <c r="N1" s="174"/>
      <c r="O1" s="174"/>
      <c r="P1" s="174"/>
      <c r="Q1" s="174"/>
      <c r="R1" s="174"/>
      <c r="S1" s="175"/>
    </row>
    <row r="2" spans="1:19" ht="58" x14ac:dyDescent="0.35">
      <c r="B2" s="95" t="s">
        <v>10</v>
      </c>
      <c r="C2" s="96" t="s">
        <v>708</v>
      </c>
      <c r="D2" s="96" t="s">
        <v>51</v>
      </c>
      <c r="E2" s="96" t="s">
        <v>22</v>
      </c>
      <c r="F2" s="97" t="s">
        <v>61</v>
      </c>
      <c r="G2" s="97" t="s">
        <v>62</v>
      </c>
      <c r="H2" s="97" t="s">
        <v>63</v>
      </c>
      <c r="I2" s="98"/>
      <c r="J2" s="99" t="s">
        <v>709</v>
      </c>
      <c r="K2" s="100" t="s">
        <v>710</v>
      </c>
      <c r="L2" s="100" t="s">
        <v>711</v>
      </c>
      <c r="M2" s="100" t="s">
        <v>712</v>
      </c>
      <c r="N2" s="100" t="s">
        <v>713</v>
      </c>
      <c r="O2" s="100" t="s">
        <v>714</v>
      </c>
      <c r="P2" s="100" t="s">
        <v>715</v>
      </c>
      <c r="Q2" s="100" t="s">
        <v>716</v>
      </c>
      <c r="R2" s="100" t="s">
        <v>717</v>
      </c>
      <c r="S2" s="124" t="s">
        <v>718</v>
      </c>
    </row>
    <row r="3" spans="1:19" s="62" customFormat="1" ht="14.5" x14ac:dyDescent="0.35">
      <c r="A3" s="101"/>
      <c r="B3" s="62" t="s">
        <v>620</v>
      </c>
      <c r="C3" s="102" t="s">
        <v>719</v>
      </c>
      <c r="D3" s="83" t="s">
        <v>173</v>
      </c>
      <c r="E3" s="84" t="s">
        <v>745</v>
      </c>
      <c r="F3" s="78"/>
      <c r="G3" s="78"/>
      <c r="H3" s="78"/>
      <c r="I3" s="98"/>
      <c r="J3" s="79" t="s">
        <v>790</v>
      </c>
      <c r="K3" s="80">
        <v>200</v>
      </c>
      <c r="L3" s="80">
        <v>200</v>
      </c>
      <c r="M3" s="80">
        <v>0</v>
      </c>
      <c r="N3" s="80">
        <v>133</v>
      </c>
      <c r="O3" s="80">
        <v>67</v>
      </c>
      <c r="P3" s="80">
        <v>0</v>
      </c>
      <c r="Q3" s="80">
        <v>4</v>
      </c>
      <c r="R3" s="80">
        <v>0</v>
      </c>
      <c r="S3" s="80">
        <v>200</v>
      </c>
    </row>
    <row r="4" spans="1:19" s="62" customFormat="1" ht="14.5" x14ac:dyDescent="0.35">
      <c r="A4" s="101"/>
      <c r="B4" s="62" t="s">
        <v>620</v>
      </c>
      <c r="C4" s="102" t="s">
        <v>719</v>
      </c>
      <c r="D4" s="83" t="s">
        <v>658</v>
      </c>
      <c r="E4" s="84" t="s">
        <v>720</v>
      </c>
      <c r="F4" s="104"/>
      <c r="G4" s="84">
        <v>38232</v>
      </c>
      <c r="H4" s="84">
        <v>38232</v>
      </c>
      <c r="I4" s="98"/>
      <c r="J4" s="79" t="s">
        <v>790</v>
      </c>
      <c r="K4" s="104">
        <f>'[1]Lakeview Summary'!C5+'[1]Lakeview Summary'!D5</f>
        <v>33</v>
      </c>
      <c r="L4" s="104">
        <v>33</v>
      </c>
      <c r="M4" s="84"/>
      <c r="N4" s="84"/>
      <c r="O4" s="84"/>
      <c r="P4" s="84"/>
      <c r="Q4" s="84"/>
      <c r="R4" s="84"/>
      <c r="S4" s="104"/>
    </row>
    <row r="5" spans="1:19" s="62" customFormat="1" ht="14.5" x14ac:dyDescent="0.35">
      <c r="A5" s="101"/>
      <c r="B5" s="62" t="s">
        <v>620</v>
      </c>
      <c r="C5" s="102" t="s">
        <v>719</v>
      </c>
      <c r="D5" s="83" t="s">
        <v>657</v>
      </c>
      <c r="E5" s="84" t="s">
        <v>722</v>
      </c>
      <c r="F5" s="104"/>
      <c r="G5" s="84">
        <v>42091</v>
      </c>
      <c r="H5" s="84">
        <v>42091</v>
      </c>
      <c r="I5" s="98"/>
      <c r="J5" s="38"/>
      <c r="K5" s="104"/>
      <c r="L5" s="104"/>
      <c r="M5" s="84"/>
      <c r="N5" s="84"/>
      <c r="O5" s="84"/>
      <c r="P5" s="84"/>
      <c r="Q5" s="84"/>
      <c r="R5" s="84"/>
      <c r="S5" s="104"/>
    </row>
    <row r="6" spans="1:19" ht="14.5" x14ac:dyDescent="0.35">
      <c r="B6" s="62" t="s">
        <v>620</v>
      </c>
      <c r="C6" s="107" t="s">
        <v>719</v>
      </c>
      <c r="D6" s="136" t="s">
        <v>791</v>
      </c>
      <c r="E6" s="123" t="s">
        <v>723</v>
      </c>
      <c r="F6" s="108"/>
      <c r="G6" s="84">
        <v>42091</v>
      </c>
      <c r="H6" s="84">
        <v>42091</v>
      </c>
      <c r="I6" s="98"/>
      <c r="J6" s="129"/>
      <c r="K6" s="108"/>
      <c r="L6" s="108"/>
      <c r="M6" s="123"/>
      <c r="N6" s="123"/>
      <c r="O6" s="123"/>
      <c r="P6" s="123"/>
      <c r="Q6" s="123"/>
      <c r="R6" s="123"/>
      <c r="S6" s="104"/>
    </row>
    <row r="7" spans="1:19" ht="14.5" x14ac:dyDescent="0.35">
      <c r="B7" s="62" t="s">
        <v>620</v>
      </c>
      <c r="C7" s="102" t="s">
        <v>719</v>
      </c>
      <c r="D7" s="83" t="s">
        <v>232</v>
      </c>
      <c r="E7" s="84" t="s">
        <v>725</v>
      </c>
      <c r="F7" s="110"/>
      <c r="G7" s="84">
        <v>42091</v>
      </c>
      <c r="H7" s="84">
        <v>42091</v>
      </c>
      <c r="I7" s="98"/>
      <c r="J7" s="38"/>
      <c r="K7" s="110"/>
      <c r="L7" s="110"/>
      <c r="M7" s="84"/>
      <c r="N7" s="84"/>
      <c r="O7" s="84"/>
      <c r="P7" s="84"/>
      <c r="Q7" s="84"/>
      <c r="R7" s="84"/>
      <c r="S7" s="108"/>
    </row>
    <row r="8" spans="1:19" ht="14.5" x14ac:dyDescent="0.35">
      <c r="B8" s="62" t="s">
        <v>620</v>
      </c>
      <c r="C8" s="102" t="s">
        <v>719</v>
      </c>
      <c r="D8" s="83" t="s">
        <v>239</v>
      </c>
      <c r="E8" s="84" t="s">
        <v>726</v>
      </c>
      <c r="F8" s="110"/>
      <c r="G8" s="84">
        <v>42091</v>
      </c>
      <c r="H8" s="84">
        <v>42091</v>
      </c>
      <c r="I8" s="98"/>
      <c r="J8" s="38"/>
      <c r="K8" s="110"/>
      <c r="L8" s="110"/>
      <c r="M8" s="84"/>
      <c r="N8" s="84"/>
      <c r="O8" s="84"/>
      <c r="P8" s="84"/>
      <c r="Q8" s="84"/>
      <c r="R8" s="84"/>
      <c r="S8" s="110"/>
    </row>
    <row r="9" spans="1:19" ht="14.5" x14ac:dyDescent="0.35">
      <c r="B9" s="62" t="s">
        <v>620</v>
      </c>
      <c r="C9" s="102" t="s">
        <v>719</v>
      </c>
      <c r="D9" s="83" t="s">
        <v>232</v>
      </c>
      <c r="E9" s="84" t="s">
        <v>727</v>
      </c>
      <c r="F9" s="110"/>
      <c r="G9" s="84">
        <v>42465</v>
      </c>
      <c r="H9" s="84">
        <v>42465</v>
      </c>
      <c r="I9" s="98"/>
      <c r="J9" s="38"/>
      <c r="K9" s="110"/>
      <c r="L9" s="110"/>
      <c r="M9" s="84"/>
      <c r="N9" s="84"/>
      <c r="O9" s="84"/>
      <c r="P9" s="84"/>
      <c r="Q9" s="84"/>
      <c r="R9" s="84"/>
      <c r="S9" s="110"/>
    </row>
    <row r="10" spans="1:19" ht="14.5" x14ac:dyDescent="0.35">
      <c r="B10" s="62" t="s">
        <v>620</v>
      </c>
      <c r="C10" s="102" t="s">
        <v>719</v>
      </c>
      <c r="D10" s="83" t="s">
        <v>239</v>
      </c>
      <c r="E10" s="84" t="s">
        <v>729</v>
      </c>
      <c r="F10" s="110"/>
      <c r="G10" s="84">
        <v>42465</v>
      </c>
      <c r="H10" s="84">
        <v>42465</v>
      </c>
      <c r="I10" s="98"/>
      <c r="J10" s="38"/>
      <c r="K10" s="110"/>
      <c r="L10" s="110"/>
      <c r="M10" s="84"/>
      <c r="N10" s="84"/>
      <c r="O10" s="84"/>
      <c r="P10" s="84"/>
      <c r="Q10" s="84"/>
      <c r="R10" s="84"/>
      <c r="S10" s="110"/>
    </row>
    <row r="11" spans="1:19" s="137" customFormat="1" ht="14.5" x14ac:dyDescent="0.35">
      <c r="B11" s="62" t="s">
        <v>620</v>
      </c>
      <c r="C11" s="138" t="s">
        <v>731</v>
      </c>
      <c r="D11" s="83" t="s">
        <v>660</v>
      </c>
      <c r="E11" s="139" t="s">
        <v>745</v>
      </c>
      <c r="F11" s="110"/>
      <c r="G11" s="84">
        <v>15015</v>
      </c>
      <c r="H11" s="84">
        <v>15015</v>
      </c>
      <c r="I11" s="98"/>
      <c r="J11" s="140"/>
      <c r="K11" s="141"/>
      <c r="L11" s="141"/>
      <c r="M11" s="139"/>
      <c r="N11" s="139"/>
      <c r="O11" s="139"/>
      <c r="P11" s="139"/>
      <c r="Q11" s="139"/>
      <c r="R11" s="139"/>
      <c r="S11" s="141"/>
    </row>
    <row r="12" spans="1:19" s="137" customFormat="1" ht="14.5" x14ac:dyDescent="0.35">
      <c r="B12" s="62" t="s">
        <v>620</v>
      </c>
      <c r="C12" s="138" t="s">
        <v>731</v>
      </c>
      <c r="D12" s="142" t="s">
        <v>239</v>
      </c>
      <c r="E12" s="139" t="s">
        <v>720</v>
      </c>
      <c r="F12" s="110"/>
      <c r="G12" s="84">
        <v>27378</v>
      </c>
      <c r="H12" s="84">
        <v>27378</v>
      </c>
      <c r="I12" s="98"/>
      <c r="J12" s="140"/>
      <c r="K12" s="141"/>
      <c r="L12" s="141"/>
      <c r="M12" s="139"/>
      <c r="N12" s="139"/>
      <c r="O12" s="139"/>
      <c r="P12" s="139"/>
      <c r="Q12" s="139"/>
      <c r="R12" s="139"/>
      <c r="S12" s="141"/>
    </row>
    <row r="13" spans="1:19" s="137" customFormat="1" ht="14.5" x14ac:dyDescent="0.35">
      <c r="B13" s="62" t="s">
        <v>620</v>
      </c>
      <c r="C13" s="138" t="s">
        <v>731</v>
      </c>
      <c r="D13" s="142" t="s">
        <v>239</v>
      </c>
      <c r="E13" s="139" t="s">
        <v>722</v>
      </c>
      <c r="F13" s="110"/>
      <c r="G13" s="84">
        <v>32000</v>
      </c>
      <c r="H13" s="84">
        <v>32000</v>
      </c>
      <c r="I13" s="98"/>
      <c r="J13" s="140"/>
      <c r="K13" s="141"/>
      <c r="L13" s="139"/>
      <c r="M13" s="139"/>
      <c r="N13" s="139"/>
      <c r="O13" s="139"/>
      <c r="P13" s="139"/>
      <c r="Q13" s="139"/>
      <c r="R13" s="139"/>
      <c r="S13" s="139"/>
    </row>
    <row r="14" spans="1:19" s="137" customFormat="1" ht="14.5" x14ac:dyDescent="0.35">
      <c r="B14" s="62" t="s">
        <v>620</v>
      </c>
      <c r="C14" s="138" t="s">
        <v>731</v>
      </c>
      <c r="D14" s="142" t="s">
        <v>239</v>
      </c>
      <c r="E14" s="139" t="s">
        <v>723</v>
      </c>
      <c r="F14" s="110"/>
      <c r="G14" s="84">
        <v>32000</v>
      </c>
      <c r="H14" s="84">
        <v>32000</v>
      </c>
      <c r="I14" s="98"/>
      <c r="J14" s="140"/>
      <c r="K14" s="141"/>
      <c r="L14" s="141"/>
      <c r="M14" s="139"/>
      <c r="N14" s="139"/>
      <c r="O14" s="139"/>
      <c r="P14" s="139"/>
      <c r="Q14" s="139"/>
      <c r="R14" s="139"/>
      <c r="S14" s="141"/>
    </row>
    <row r="15" spans="1:19" s="137" customFormat="1" ht="14.5" x14ac:dyDescent="0.35">
      <c r="B15" s="62" t="s">
        <v>620</v>
      </c>
      <c r="C15" s="138" t="s">
        <v>731</v>
      </c>
      <c r="D15" s="142" t="s">
        <v>239</v>
      </c>
      <c r="E15" s="139" t="s">
        <v>725</v>
      </c>
      <c r="F15" s="110"/>
      <c r="G15" s="84">
        <v>32000</v>
      </c>
      <c r="H15" s="84">
        <v>32000</v>
      </c>
      <c r="I15" s="98"/>
      <c r="J15" s="140"/>
      <c r="K15" s="141"/>
      <c r="L15" s="141"/>
      <c r="M15" s="139"/>
      <c r="N15" s="139"/>
      <c r="O15" s="139"/>
      <c r="P15" s="139"/>
      <c r="Q15" s="139"/>
      <c r="R15" s="139"/>
      <c r="S15" s="141"/>
    </row>
    <row r="16" spans="1:19" s="137" customFormat="1" ht="14.5" x14ac:dyDescent="0.35">
      <c r="B16" s="62" t="s">
        <v>620</v>
      </c>
      <c r="C16" s="138" t="s">
        <v>731</v>
      </c>
      <c r="D16" s="142" t="s">
        <v>239</v>
      </c>
      <c r="E16" s="139" t="s">
        <v>726</v>
      </c>
      <c r="F16" s="110"/>
      <c r="G16" s="84">
        <v>32200</v>
      </c>
      <c r="H16" s="84">
        <v>32200</v>
      </c>
      <c r="I16" s="98"/>
      <c r="J16" s="140"/>
      <c r="K16" s="141"/>
      <c r="L16" s="141"/>
      <c r="M16" s="139"/>
      <c r="N16" s="139"/>
      <c r="O16" s="139"/>
      <c r="P16" s="139"/>
      <c r="Q16" s="139"/>
      <c r="R16" s="139"/>
      <c r="S16" s="141"/>
    </row>
    <row r="17" spans="2:19" s="137" customFormat="1" ht="14.5" x14ac:dyDescent="0.35">
      <c r="B17" s="62" t="s">
        <v>620</v>
      </c>
      <c r="C17" s="138" t="s">
        <v>731</v>
      </c>
      <c r="D17" s="142" t="s">
        <v>239</v>
      </c>
      <c r="E17" s="139" t="s">
        <v>727</v>
      </c>
      <c r="F17" s="110"/>
      <c r="G17" s="84">
        <v>31877</v>
      </c>
      <c r="H17" s="84">
        <v>31877</v>
      </c>
      <c r="I17" s="98"/>
      <c r="J17" s="140"/>
      <c r="K17" s="141"/>
      <c r="L17" s="141"/>
      <c r="M17" s="139"/>
      <c r="N17" s="139"/>
      <c r="O17" s="139"/>
      <c r="P17" s="139"/>
      <c r="Q17" s="139"/>
      <c r="R17" s="139"/>
      <c r="S17" s="141"/>
    </row>
    <row r="18" spans="2:19" ht="14.5" x14ac:dyDescent="0.35">
      <c r="B18" s="62" t="s">
        <v>620</v>
      </c>
      <c r="C18" s="102" t="s">
        <v>731</v>
      </c>
      <c r="D18" s="142" t="s">
        <v>239</v>
      </c>
      <c r="E18" s="84" t="s">
        <v>729</v>
      </c>
      <c r="F18" s="110"/>
      <c r="G18" s="84">
        <v>31877</v>
      </c>
      <c r="H18" s="84">
        <v>31877</v>
      </c>
      <c r="I18" s="98"/>
      <c r="J18" s="38"/>
      <c r="K18" s="110"/>
      <c r="L18" s="110"/>
      <c r="M18" s="84"/>
      <c r="N18" s="84"/>
      <c r="O18" s="84"/>
      <c r="P18" s="84"/>
      <c r="Q18" s="84"/>
      <c r="R18" s="84"/>
      <c r="S18" s="110"/>
    </row>
    <row r="19" spans="2:19" ht="14.5" x14ac:dyDescent="0.35">
      <c r="F19" s="110"/>
      <c r="I19" s="98"/>
    </row>
    <row r="20" spans="2:19" ht="14.5" x14ac:dyDescent="0.35">
      <c r="I20" s="62"/>
      <c r="J20" s="62" t="s">
        <v>750</v>
      </c>
      <c r="K20" s="62"/>
      <c r="L20" s="62"/>
      <c r="M20" s="62"/>
      <c r="N20" s="62"/>
      <c r="O20" s="62"/>
      <c r="P20" s="62"/>
      <c r="Q20" s="62"/>
      <c r="R20" s="62"/>
      <c r="S20" s="62"/>
    </row>
    <row r="21" spans="2:19" ht="43.5" x14ac:dyDescent="0.35">
      <c r="I21" s="6" t="s">
        <v>51</v>
      </c>
      <c r="J21" s="79" t="s">
        <v>709</v>
      </c>
      <c r="K21" s="80" t="s">
        <v>710</v>
      </c>
      <c r="L21" s="80" t="s">
        <v>711</v>
      </c>
      <c r="M21" s="80" t="s">
        <v>712</v>
      </c>
      <c r="N21" s="80" t="s">
        <v>713</v>
      </c>
      <c r="O21" s="80" t="s">
        <v>714</v>
      </c>
      <c r="P21" s="80" t="s">
        <v>715</v>
      </c>
      <c r="Q21" s="80" t="s">
        <v>716</v>
      </c>
      <c r="R21" s="80" t="s">
        <v>717</v>
      </c>
      <c r="S21" s="80" t="s">
        <v>718</v>
      </c>
    </row>
    <row r="22" spans="2:19" ht="43.5" x14ac:dyDescent="0.35">
      <c r="I22" s="18" t="s">
        <v>792</v>
      </c>
      <c r="J22" s="62" t="s">
        <v>751</v>
      </c>
      <c r="K22" s="62">
        <v>72</v>
      </c>
      <c r="L22" s="62">
        <v>72</v>
      </c>
      <c r="M22" s="62">
        <v>0</v>
      </c>
      <c r="N22" s="62">
        <v>0</v>
      </c>
      <c r="O22" s="62">
        <v>72</v>
      </c>
      <c r="P22" s="62">
        <v>0</v>
      </c>
      <c r="Q22" s="62">
        <v>0</v>
      </c>
      <c r="R22" s="62">
        <v>0</v>
      </c>
      <c r="S22" s="62">
        <v>72</v>
      </c>
    </row>
    <row r="23" spans="2:19" ht="14.5" x14ac:dyDescent="0.35">
      <c r="I23" s="83" t="s">
        <v>239</v>
      </c>
      <c r="J23" s="62" t="s">
        <v>752</v>
      </c>
      <c r="K23" s="62">
        <v>72</v>
      </c>
      <c r="L23" s="62">
        <v>72</v>
      </c>
      <c r="M23" s="62">
        <v>0</v>
      </c>
      <c r="N23" s="62">
        <v>0</v>
      </c>
      <c r="O23" s="62">
        <v>72</v>
      </c>
      <c r="P23" s="62">
        <v>0</v>
      </c>
      <c r="Q23" s="62">
        <v>0</v>
      </c>
      <c r="R23" s="62">
        <v>0</v>
      </c>
      <c r="S23" s="62">
        <v>72</v>
      </c>
    </row>
    <row r="24" spans="2:19" ht="14.5" x14ac:dyDescent="0.35">
      <c r="I24" s="83" t="s">
        <v>239</v>
      </c>
      <c r="J24" s="62" t="s">
        <v>753</v>
      </c>
      <c r="K24" s="62">
        <v>72</v>
      </c>
      <c r="L24" s="62">
        <v>72</v>
      </c>
      <c r="M24" s="62">
        <v>0</v>
      </c>
      <c r="N24" s="62">
        <v>0</v>
      </c>
      <c r="O24" s="62">
        <v>72</v>
      </c>
      <c r="P24" s="62">
        <v>0</v>
      </c>
      <c r="Q24" s="62">
        <v>0</v>
      </c>
      <c r="R24" s="62">
        <v>0</v>
      </c>
      <c r="S24" s="62">
        <v>72</v>
      </c>
    </row>
    <row r="25" spans="2:19" ht="14.5" x14ac:dyDescent="0.35">
      <c r="I25" s="83" t="s">
        <v>793</v>
      </c>
      <c r="J25" s="62" t="s">
        <v>754</v>
      </c>
      <c r="K25" s="62">
        <v>72</v>
      </c>
      <c r="L25" s="62">
        <v>72</v>
      </c>
      <c r="M25" s="62">
        <v>0</v>
      </c>
      <c r="N25" s="62">
        <v>0</v>
      </c>
      <c r="O25" s="62">
        <v>72</v>
      </c>
      <c r="P25" s="62">
        <v>0</v>
      </c>
      <c r="Q25" s="62">
        <v>0</v>
      </c>
      <c r="R25" s="62">
        <v>0</v>
      </c>
      <c r="S25" s="62">
        <v>72</v>
      </c>
    </row>
    <row r="26" spans="2:19" ht="29" x14ac:dyDescent="0.35">
      <c r="I26" s="18" t="s">
        <v>794</v>
      </c>
      <c r="J26" s="62" t="s">
        <v>755</v>
      </c>
      <c r="K26" s="62">
        <v>72</v>
      </c>
      <c r="L26" s="62">
        <v>72</v>
      </c>
      <c r="M26" s="62">
        <v>0</v>
      </c>
      <c r="N26" s="62">
        <v>0</v>
      </c>
      <c r="O26" s="62">
        <v>72</v>
      </c>
      <c r="P26" s="62">
        <v>0</v>
      </c>
      <c r="Q26" s="62">
        <v>0</v>
      </c>
      <c r="R26" s="62">
        <v>0</v>
      </c>
      <c r="S26" s="62">
        <v>72</v>
      </c>
    </row>
    <row r="27" spans="2:19" ht="14.5" x14ac:dyDescent="0.35">
      <c r="I27" s="62" t="s">
        <v>232</v>
      </c>
      <c r="J27" s="62" t="s">
        <v>756</v>
      </c>
      <c r="K27" s="62">
        <v>72</v>
      </c>
      <c r="L27" s="62">
        <v>72</v>
      </c>
      <c r="M27" s="62">
        <v>0</v>
      </c>
      <c r="N27" s="62">
        <v>0</v>
      </c>
      <c r="O27" s="62">
        <v>72</v>
      </c>
      <c r="P27" s="62">
        <v>0</v>
      </c>
      <c r="Q27" s="62">
        <v>0</v>
      </c>
      <c r="R27" s="62">
        <v>0</v>
      </c>
      <c r="S27" s="62">
        <v>72</v>
      </c>
    </row>
    <row r="28" spans="2:19" ht="14.5" x14ac:dyDescent="0.35">
      <c r="I28" s="83" t="s">
        <v>239</v>
      </c>
      <c r="J28" s="62" t="s">
        <v>757</v>
      </c>
      <c r="K28" s="62">
        <v>72</v>
      </c>
      <c r="L28" s="62">
        <v>72</v>
      </c>
      <c r="M28" s="62">
        <v>0</v>
      </c>
      <c r="N28" s="62">
        <v>0</v>
      </c>
      <c r="O28" s="62">
        <v>72</v>
      </c>
      <c r="P28" s="62">
        <v>0</v>
      </c>
      <c r="Q28" s="62">
        <v>0</v>
      </c>
      <c r="R28" s="62">
        <v>0</v>
      </c>
      <c r="S28" s="62">
        <v>72</v>
      </c>
    </row>
    <row r="29" spans="2:19" ht="14.5" x14ac:dyDescent="0.35"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</row>
    <row r="30" spans="2:19" ht="14.5" x14ac:dyDescent="0.35">
      <c r="I30" s="98"/>
    </row>
    <row r="31" spans="2:19" ht="14.5" x14ac:dyDescent="0.35">
      <c r="I31" s="98"/>
    </row>
    <row r="32" spans="2:19" ht="14.5" x14ac:dyDescent="0.35">
      <c r="I32" s="98"/>
    </row>
    <row r="33" spans="9:12" ht="14.5" x14ac:dyDescent="0.35">
      <c r="I33" s="98"/>
    </row>
    <row r="34" spans="9:12" ht="14.5" x14ac:dyDescent="0.35">
      <c r="I34" s="98"/>
    </row>
    <row r="35" spans="9:12" ht="14.5" x14ac:dyDescent="0.35">
      <c r="I35" s="98"/>
    </row>
    <row r="36" spans="9:12" ht="14.5" x14ac:dyDescent="0.35">
      <c r="I36" s="98"/>
    </row>
    <row r="37" spans="9:12" ht="14.5" x14ac:dyDescent="0.35">
      <c r="I37" s="98"/>
    </row>
    <row r="38" spans="9:12" ht="14.5" x14ac:dyDescent="0.35">
      <c r="I38" s="98"/>
    </row>
    <row r="39" spans="9:12" ht="14.5" x14ac:dyDescent="0.35">
      <c r="I39" s="98"/>
    </row>
    <row r="40" spans="9:12" ht="14.5" x14ac:dyDescent="0.35">
      <c r="I40" s="98"/>
    </row>
    <row r="41" spans="9:12" ht="14.5" x14ac:dyDescent="0.35">
      <c r="I41" s="98"/>
    </row>
    <row r="42" spans="9:12" ht="14.5" x14ac:dyDescent="0.35">
      <c r="I42" s="98"/>
    </row>
    <row r="43" spans="9:12" ht="14.5" x14ac:dyDescent="0.35">
      <c r="I43" s="98"/>
    </row>
    <row r="44" spans="9:12" ht="14.5" x14ac:dyDescent="0.35">
      <c r="I44" s="98"/>
    </row>
    <row r="45" spans="9:12" thickBot="1" x14ac:dyDescent="0.4">
      <c r="I45" s="98"/>
    </row>
    <row r="47" spans="9:12" thickBot="1" x14ac:dyDescent="0.4">
      <c r="K47" s="154" t="s">
        <v>813</v>
      </c>
      <c r="L47" t="str">
        <f>CONCATENATE(K47,K48,K49)</f>
        <v>Laurel ’B’ Block, 5th Floor,Bagmane Tech Park, C V Raman Nagar,Bangalore – 560 093</v>
      </c>
    </row>
    <row r="48" spans="9:12" thickBot="1" x14ac:dyDescent="0.4">
      <c r="K48" s="154" t="s">
        <v>814</v>
      </c>
    </row>
    <row r="49" spans="11:13" thickBot="1" x14ac:dyDescent="0.4">
      <c r="K49" s="154" t="s">
        <v>815</v>
      </c>
      <c r="L49">
        <f>16*18</f>
        <v>288</v>
      </c>
    </row>
    <row r="50" spans="11:13" thickBot="1" x14ac:dyDescent="0.4">
      <c r="L50">
        <f>L49/40</f>
        <v>7.2</v>
      </c>
    </row>
    <row r="51" spans="11:13" thickBot="1" x14ac:dyDescent="0.4">
      <c r="L51">
        <f>L50*103</f>
        <v>741.6</v>
      </c>
      <c r="M51">
        <f>140*18</f>
        <v>2520</v>
      </c>
    </row>
    <row r="52" spans="11:13" thickBot="1" x14ac:dyDescent="0.4">
      <c r="M52">
        <f>60*18</f>
        <v>1080</v>
      </c>
    </row>
    <row r="53" spans="11:13" thickBot="1" x14ac:dyDescent="0.4">
      <c r="M53">
        <v>742</v>
      </c>
    </row>
  </sheetData>
  <mergeCells count="2">
    <mergeCell ref="F1:H1"/>
    <mergeCell ref="J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M25"/>
  <sheetViews>
    <sheetView workbookViewId="0">
      <selection activeCell="C10" sqref="C10"/>
    </sheetView>
  </sheetViews>
  <sheetFormatPr defaultRowHeight="14.5" x14ac:dyDescent="0.35"/>
  <cols>
    <col min="2" max="2" width="37.26953125" style="116" bestFit="1" customWidth="1"/>
    <col min="3" max="3" width="15.54296875" bestFit="1" customWidth="1"/>
    <col min="4" max="4" width="13.7265625" customWidth="1"/>
    <col min="5" max="6" width="15.453125" style="116" customWidth="1"/>
    <col min="7" max="7" width="16.26953125" style="116" customWidth="1"/>
    <col min="8" max="8" width="13.453125" style="116" customWidth="1"/>
    <col min="9" max="9" width="14" style="116" bestFit="1" customWidth="1"/>
    <col min="10" max="10" width="9.7265625" style="116" bestFit="1" customWidth="1"/>
    <col min="11" max="11" width="13.81640625" style="116" bestFit="1" customWidth="1"/>
    <col min="12" max="12" width="11.26953125" style="116" customWidth="1"/>
    <col min="13" max="13" width="10.453125" style="116" customWidth="1"/>
    <col min="14" max="14" width="14.54296875" customWidth="1"/>
  </cols>
  <sheetData>
    <row r="3" spans="2:13" ht="15.5" x14ac:dyDescent="0.35">
      <c r="B3" s="181" t="s">
        <v>795</v>
      </c>
      <c r="C3" s="181"/>
      <c r="D3" s="181"/>
      <c r="E3" s="181"/>
      <c r="F3" s="181"/>
      <c r="G3" s="181"/>
      <c r="H3" s="143"/>
      <c r="I3"/>
      <c r="J3"/>
      <c r="K3"/>
      <c r="L3"/>
      <c r="M3"/>
    </row>
    <row r="4" spans="2:13" ht="43.5" x14ac:dyDescent="0.35">
      <c r="B4" s="143" t="s">
        <v>796</v>
      </c>
      <c r="C4" s="10" t="s">
        <v>810</v>
      </c>
      <c r="D4" s="143" t="s">
        <v>264</v>
      </c>
      <c r="E4" s="143" t="s">
        <v>378</v>
      </c>
      <c r="F4" s="10" t="s">
        <v>797</v>
      </c>
      <c r="G4" s="143" t="s">
        <v>798</v>
      </c>
      <c r="H4" s="10" t="s">
        <v>799</v>
      </c>
      <c r="I4"/>
      <c r="J4"/>
      <c r="K4"/>
      <c r="L4"/>
      <c r="M4"/>
    </row>
    <row r="5" spans="2:13" x14ac:dyDescent="0.35">
      <c r="B5" s="83" t="s">
        <v>658</v>
      </c>
      <c r="C5" s="84">
        <v>19</v>
      </c>
      <c r="D5" s="84">
        <v>14</v>
      </c>
      <c r="E5" s="84">
        <v>32</v>
      </c>
      <c r="F5" s="84" t="s">
        <v>800</v>
      </c>
      <c r="G5" s="139">
        <f t="shared" ref="G5:G11" si="0">SUM(C5:E5)</f>
        <v>65</v>
      </c>
      <c r="H5" s="84">
        <f>E5+D5+C5</f>
        <v>65</v>
      </c>
      <c r="I5"/>
      <c r="J5"/>
      <c r="K5"/>
      <c r="L5"/>
      <c r="M5"/>
    </row>
    <row r="6" spans="2:13" x14ac:dyDescent="0.35">
      <c r="B6" s="83" t="s">
        <v>657</v>
      </c>
      <c r="C6" s="84">
        <v>16</v>
      </c>
      <c r="D6" s="139">
        <v>0</v>
      </c>
      <c r="E6" s="84">
        <v>40</v>
      </c>
      <c r="F6" s="84" t="s">
        <v>801</v>
      </c>
      <c r="G6" s="139">
        <f t="shared" si="0"/>
        <v>56</v>
      </c>
      <c r="H6" s="84">
        <f t="shared" ref="H6:H11" si="1">E6+D6+C6</f>
        <v>56</v>
      </c>
      <c r="I6"/>
      <c r="J6"/>
      <c r="K6"/>
      <c r="L6"/>
      <c r="M6"/>
    </row>
    <row r="7" spans="2:13" x14ac:dyDescent="0.35">
      <c r="B7" s="136" t="s">
        <v>791</v>
      </c>
      <c r="C7" s="84">
        <v>20</v>
      </c>
      <c r="D7" s="139">
        <v>0</v>
      </c>
      <c r="E7" s="84">
        <v>36</v>
      </c>
      <c r="F7" s="84" t="s">
        <v>802</v>
      </c>
      <c r="G7" s="139">
        <f t="shared" si="0"/>
        <v>56</v>
      </c>
      <c r="H7" s="84">
        <f t="shared" si="1"/>
        <v>56</v>
      </c>
      <c r="I7"/>
      <c r="J7"/>
      <c r="K7"/>
      <c r="L7"/>
      <c r="M7"/>
    </row>
    <row r="8" spans="2:13" ht="72.5" x14ac:dyDescent="0.35">
      <c r="B8" s="83" t="s">
        <v>239</v>
      </c>
      <c r="C8" s="84">
        <v>0</v>
      </c>
      <c r="D8" s="139">
        <v>98</v>
      </c>
      <c r="E8" s="84">
        <v>288</v>
      </c>
      <c r="F8" s="13" t="s">
        <v>803</v>
      </c>
      <c r="G8" s="139">
        <f t="shared" si="0"/>
        <v>386</v>
      </c>
      <c r="H8" s="84">
        <f t="shared" si="1"/>
        <v>386</v>
      </c>
      <c r="I8"/>
      <c r="J8"/>
      <c r="K8"/>
      <c r="L8"/>
      <c r="M8"/>
    </row>
    <row r="9" spans="2:13" ht="29" x14ac:dyDescent="0.35">
      <c r="B9" s="83" t="s">
        <v>232</v>
      </c>
      <c r="C9" s="84">
        <v>0</v>
      </c>
      <c r="D9" s="139">
        <v>21</v>
      </c>
      <c r="E9" s="84">
        <f>72+19</f>
        <v>91</v>
      </c>
      <c r="F9" s="13" t="s">
        <v>804</v>
      </c>
      <c r="G9" s="139">
        <f t="shared" si="0"/>
        <v>112</v>
      </c>
      <c r="H9" s="84">
        <f t="shared" si="1"/>
        <v>112</v>
      </c>
      <c r="I9"/>
      <c r="J9"/>
      <c r="K9"/>
      <c r="L9"/>
      <c r="M9"/>
    </row>
    <row r="10" spans="2:13" x14ac:dyDescent="0.35">
      <c r="B10" s="83" t="s">
        <v>660</v>
      </c>
      <c r="C10" s="84">
        <v>12</v>
      </c>
      <c r="D10" s="139">
        <v>0</v>
      </c>
      <c r="E10" s="84">
        <v>11</v>
      </c>
      <c r="F10" s="84" t="s">
        <v>805</v>
      </c>
      <c r="G10" s="139">
        <f t="shared" si="0"/>
        <v>23</v>
      </c>
      <c r="H10" s="84">
        <f t="shared" si="1"/>
        <v>23</v>
      </c>
      <c r="I10"/>
      <c r="J10"/>
      <c r="K10"/>
      <c r="L10"/>
      <c r="M10"/>
    </row>
    <row r="11" spans="2:13" x14ac:dyDescent="0.35">
      <c r="B11" s="83" t="s">
        <v>806</v>
      </c>
      <c r="C11" s="84"/>
      <c r="D11" s="139"/>
      <c r="E11" s="84">
        <v>6</v>
      </c>
      <c r="F11" s="84" t="s">
        <v>807</v>
      </c>
      <c r="G11" s="139">
        <f t="shared" si="0"/>
        <v>6</v>
      </c>
      <c r="H11" s="84">
        <f t="shared" si="1"/>
        <v>6</v>
      </c>
      <c r="I11"/>
      <c r="J11"/>
      <c r="K11"/>
      <c r="L11"/>
      <c r="M11"/>
    </row>
    <row r="12" spans="2:13" ht="33" customHeight="1" x14ac:dyDescent="0.35">
      <c r="B12" s="143" t="s">
        <v>798</v>
      </c>
      <c r="C12" s="139">
        <f>SUM(C5:C10)</f>
        <v>67</v>
      </c>
      <c r="D12" s="139">
        <f>SUM(D5:D10)</f>
        <v>133</v>
      </c>
      <c r="E12" s="139">
        <f>SUM(E5:E11)</f>
        <v>504</v>
      </c>
      <c r="F12" s="139"/>
      <c r="G12" s="139">
        <f>SUM(G5:G11)</f>
        <v>704</v>
      </c>
      <c r="H12" s="139">
        <f>SUM(H5:H11)</f>
        <v>704</v>
      </c>
      <c r="I12"/>
      <c r="J12"/>
      <c r="K12"/>
      <c r="L12"/>
      <c r="M12"/>
    </row>
    <row r="13" spans="2:13" x14ac:dyDescent="0.35">
      <c r="B13" s="144"/>
      <c r="C13" s="145"/>
      <c r="D13" s="145"/>
      <c r="E13" s="145"/>
      <c r="F13" s="145"/>
      <c r="G13" s="121"/>
      <c r="H13" s="121"/>
      <c r="I13"/>
      <c r="J13"/>
      <c r="K13"/>
      <c r="L13"/>
      <c r="M13"/>
    </row>
    <row r="15" spans="2:13" x14ac:dyDescent="0.35">
      <c r="B15"/>
      <c r="M15"/>
    </row>
    <row r="16" spans="2:13" x14ac:dyDescent="0.35">
      <c r="B16"/>
    </row>
    <row r="17" spans="2:13" x14ac:dyDescent="0.35">
      <c r="B17"/>
      <c r="M17"/>
    </row>
    <row r="18" spans="2:13" x14ac:dyDescent="0.35">
      <c r="B18"/>
      <c r="M18"/>
    </row>
    <row r="19" spans="2:13" x14ac:dyDescent="0.35">
      <c r="B19"/>
      <c r="M19"/>
    </row>
    <row r="20" spans="2:13" x14ac:dyDescent="0.35">
      <c r="B20"/>
      <c r="M20"/>
    </row>
    <row r="21" spans="2:13" x14ac:dyDescent="0.35">
      <c r="B21"/>
      <c r="M21"/>
    </row>
    <row r="22" spans="2:13" x14ac:dyDescent="0.35">
      <c r="B22"/>
      <c r="M22"/>
    </row>
    <row r="23" spans="2:13" x14ac:dyDescent="0.35">
      <c r="B23"/>
      <c r="M23"/>
    </row>
    <row r="24" spans="2:13" x14ac:dyDescent="0.35">
      <c r="B24"/>
      <c r="M24"/>
    </row>
    <row r="25" spans="2:13" customFormat="1" x14ac:dyDescent="0.35"/>
  </sheetData>
  <mergeCells count="1">
    <mergeCell ref="B3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120"/>
  <sheetViews>
    <sheetView tabSelected="1" workbookViewId="0">
      <selection activeCell="V73" sqref="V73"/>
    </sheetView>
  </sheetViews>
  <sheetFormatPr defaultColWidth="24.1796875" defaultRowHeight="14.5" x14ac:dyDescent="0.35"/>
  <cols>
    <col min="1" max="1" width="31" style="8" customWidth="1"/>
    <col min="2" max="2" width="24.1796875" style="8"/>
    <col min="3" max="3" width="25.54296875" style="8" customWidth="1"/>
    <col min="4" max="4" width="40" style="8" customWidth="1"/>
    <col min="5" max="5" width="20.54296875" style="8" bestFit="1" customWidth="1"/>
    <col min="6" max="6" width="24.81640625" style="8" bestFit="1" customWidth="1"/>
    <col min="7" max="7" width="18.54296875" style="8" bestFit="1" customWidth="1"/>
    <col min="8" max="8" width="28.453125" style="8" bestFit="1" customWidth="1"/>
    <col min="9" max="16384" width="24.1796875" style="8"/>
  </cols>
  <sheetData>
    <row r="1" spans="1:12" s="4" customFormat="1" x14ac:dyDescent="0.35">
      <c r="A1" s="156" t="s">
        <v>87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</row>
    <row r="2" spans="1:12" s="4" customFormat="1" x14ac:dyDescent="0.35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</row>
    <row r="3" spans="1:12" s="4" customFormat="1" x14ac:dyDescent="0.35">
      <c r="A3" s="5" t="s">
        <v>86</v>
      </c>
      <c r="B3" s="5" t="s">
        <v>1</v>
      </c>
      <c r="C3" s="5" t="s">
        <v>0</v>
      </c>
      <c r="D3" s="5" t="s">
        <v>107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</row>
    <row r="4" spans="1:12" ht="43.5" x14ac:dyDescent="0.35">
      <c r="A4" s="18">
        <v>1</v>
      </c>
      <c r="B4" s="18" t="s">
        <v>450</v>
      </c>
      <c r="C4" s="18" t="s">
        <v>88</v>
      </c>
      <c r="D4" s="19" t="s">
        <v>451</v>
      </c>
      <c r="E4" s="18" t="s">
        <v>88</v>
      </c>
      <c r="F4" s="18" t="s">
        <v>110</v>
      </c>
      <c r="G4" s="18" t="s">
        <v>392</v>
      </c>
      <c r="H4" s="3" t="s">
        <v>393</v>
      </c>
      <c r="I4" s="18" t="s">
        <v>89</v>
      </c>
      <c r="J4" s="3" t="s">
        <v>90</v>
      </c>
      <c r="K4" s="18" t="s">
        <v>452</v>
      </c>
      <c r="L4" s="20">
        <v>1</v>
      </c>
    </row>
    <row r="5" spans="1:12" x14ac:dyDescent="0.3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x14ac:dyDescent="0.35">
      <c r="G6" s="21"/>
      <c r="H6" s="21"/>
      <c r="I6" s="21"/>
      <c r="J6" s="21"/>
      <c r="K6" s="21"/>
      <c r="L6" s="21"/>
    </row>
    <row r="8" spans="1:12" ht="29" x14ac:dyDescent="0.35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  <c r="I8" s="5" t="s">
        <v>18</v>
      </c>
      <c r="J8" s="5" t="s">
        <v>19</v>
      </c>
      <c r="K8" s="5" t="s">
        <v>20</v>
      </c>
    </row>
    <row r="9" spans="1:12" x14ac:dyDescent="0.35">
      <c r="A9" s="6" t="s">
        <v>453</v>
      </c>
      <c r="B9" s="6"/>
      <c r="C9" s="6"/>
      <c r="D9" s="7" t="s">
        <v>454</v>
      </c>
      <c r="E9" s="7" t="s">
        <v>735</v>
      </c>
      <c r="F9" s="7" t="s">
        <v>455</v>
      </c>
      <c r="G9" s="7" t="s">
        <v>456</v>
      </c>
      <c r="H9" s="52" t="s">
        <v>187</v>
      </c>
      <c r="I9" s="7">
        <v>2003</v>
      </c>
      <c r="J9" s="7" t="s">
        <v>187</v>
      </c>
      <c r="K9" s="7" t="s">
        <v>187</v>
      </c>
    </row>
    <row r="13" spans="1:12" x14ac:dyDescent="0.35">
      <c r="A13" s="156" t="s">
        <v>93</v>
      </c>
      <c r="B13" s="156"/>
      <c r="C13" s="156"/>
      <c r="D13" s="156"/>
      <c r="E13" s="156"/>
    </row>
    <row r="14" spans="1:12" x14ac:dyDescent="0.35">
      <c r="A14" s="5" t="s">
        <v>10</v>
      </c>
      <c r="B14" s="5" t="s">
        <v>21</v>
      </c>
      <c r="C14" s="5" t="s">
        <v>22</v>
      </c>
      <c r="D14" s="5" t="s">
        <v>23</v>
      </c>
      <c r="E14" s="5" t="s">
        <v>24</v>
      </c>
      <c r="G14" s="30" t="s">
        <v>177</v>
      </c>
    </row>
    <row r="15" spans="1:12" x14ac:dyDescent="0.35">
      <c r="A15" s="2" t="s">
        <v>120</v>
      </c>
      <c r="B15" s="2" t="s">
        <v>94</v>
      </c>
      <c r="C15" s="2" t="s">
        <v>279</v>
      </c>
      <c r="D15" s="1">
        <v>37663.821400000001</v>
      </c>
      <c r="E15" s="3"/>
      <c r="F15" s="9"/>
      <c r="G15" s="2" t="s">
        <v>457</v>
      </c>
    </row>
    <row r="16" spans="1:12" x14ac:dyDescent="0.35">
      <c r="A16" s="2" t="s">
        <v>120</v>
      </c>
      <c r="B16" s="2" t="s">
        <v>94</v>
      </c>
      <c r="C16" s="2" t="s">
        <v>280</v>
      </c>
      <c r="D16" s="1">
        <v>37663.82</v>
      </c>
      <c r="E16" s="3"/>
      <c r="F16" s="9"/>
      <c r="G16" s="2" t="s">
        <v>457</v>
      </c>
    </row>
    <row r="17" spans="1:14" x14ac:dyDescent="0.35">
      <c r="A17" s="2" t="s">
        <v>120</v>
      </c>
      <c r="B17" s="2" t="s">
        <v>94</v>
      </c>
      <c r="C17" s="2" t="s">
        <v>281</v>
      </c>
      <c r="D17" s="1">
        <v>50013.433400000002</v>
      </c>
      <c r="E17" s="3"/>
      <c r="F17" s="9"/>
      <c r="G17" s="2" t="s">
        <v>458</v>
      </c>
    </row>
    <row r="18" spans="1:14" x14ac:dyDescent="0.35">
      <c r="A18" s="2" t="s">
        <v>120</v>
      </c>
      <c r="B18" s="2" t="s">
        <v>94</v>
      </c>
      <c r="C18" s="2" t="s">
        <v>282</v>
      </c>
      <c r="D18" s="1">
        <v>39893.089999999997</v>
      </c>
      <c r="E18" s="3"/>
      <c r="F18" s="9"/>
      <c r="G18" s="2" t="s">
        <v>459</v>
      </c>
    </row>
    <row r="19" spans="1:14" x14ac:dyDescent="0.35">
      <c r="A19" s="2" t="s">
        <v>120</v>
      </c>
      <c r="B19" s="2" t="s">
        <v>94</v>
      </c>
      <c r="C19" s="2" t="s">
        <v>287</v>
      </c>
      <c r="D19" s="1">
        <v>40606.519999999997</v>
      </c>
      <c r="E19" s="3"/>
      <c r="F19" s="9"/>
      <c r="G19" s="2" t="s">
        <v>460</v>
      </c>
    </row>
    <row r="20" spans="1:14" x14ac:dyDescent="0.35">
      <c r="A20" s="2" t="s">
        <v>120</v>
      </c>
      <c r="B20" s="2" t="s">
        <v>94</v>
      </c>
      <c r="C20" s="2" t="s">
        <v>288</v>
      </c>
      <c r="D20" s="1">
        <v>41320.06</v>
      </c>
      <c r="E20" s="3"/>
      <c r="F20" s="9"/>
      <c r="G20" s="2" t="s">
        <v>461</v>
      </c>
    </row>
    <row r="21" spans="1:14" x14ac:dyDescent="0.35">
      <c r="A21" s="2" t="s">
        <v>120</v>
      </c>
      <c r="B21" s="2" t="s">
        <v>94</v>
      </c>
      <c r="C21" s="2" t="s">
        <v>289</v>
      </c>
      <c r="D21" s="1">
        <v>42447.91</v>
      </c>
      <c r="E21" s="3"/>
      <c r="F21" s="9"/>
      <c r="G21" s="2" t="s">
        <v>462</v>
      </c>
    </row>
    <row r="22" spans="1:14" x14ac:dyDescent="0.35">
      <c r="A22" s="2" t="s">
        <v>120</v>
      </c>
      <c r="B22" s="2" t="s">
        <v>94</v>
      </c>
      <c r="C22" s="2" t="s">
        <v>290</v>
      </c>
      <c r="D22" s="1">
        <v>48197</v>
      </c>
      <c r="E22" s="3"/>
      <c r="F22" s="9"/>
      <c r="G22" s="2" t="s">
        <v>463</v>
      </c>
    </row>
    <row r="23" spans="1:14" x14ac:dyDescent="0.35">
      <c r="A23" s="2"/>
      <c r="B23" s="2"/>
      <c r="C23" s="2"/>
      <c r="D23" s="1"/>
      <c r="E23" s="3"/>
      <c r="F23" s="9"/>
      <c r="G23" s="2"/>
    </row>
    <row r="25" spans="1:14" x14ac:dyDescent="0.35">
      <c r="A25" s="156" t="s">
        <v>103</v>
      </c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</row>
    <row r="26" spans="1:14" ht="15" customHeight="1" x14ac:dyDescent="0.35">
      <c r="A26" s="5" t="s">
        <v>72</v>
      </c>
      <c r="B26" s="5" t="s">
        <v>73</v>
      </c>
      <c r="C26" s="5" t="s">
        <v>169</v>
      </c>
      <c r="D26" s="5" t="s">
        <v>167</v>
      </c>
      <c r="E26" s="5" t="s">
        <v>168</v>
      </c>
      <c r="F26" s="5" t="s">
        <v>74</v>
      </c>
      <c r="G26" s="5" t="s">
        <v>75</v>
      </c>
      <c r="H26" s="5" t="s">
        <v>126</v>
      </c>
      <c r="I26" s="5" t="s">
        <v>125</v>
      </c>
      <c r="J26" s="5" t="s">
        <v>122</v>
      </c>
      <c r="K26" s="5" t="s">
        <v>123</v>
      </c>
      <c r="L26" s="5" t="s">
        <v>124</v>
      </c>
      <c r="M26" s="5" t="s">
        <v>76</v>
      </c>
      <c r="N26" s="5" t="s">
        <v>77</v>
      </c>
    </row>
    <row r="27" spans="1:14" x14ac:dyDescent="0.35">
      <c r="A27" s="6" t="s">
        <v>364</v>
      </c>
      <c r="B27" s="13">
        <v>4</v>
      </c>
      <c r="C27" s="13">
        <v>40</v>
      </c>
      <c r="D27" s="13">
        <v>34</v>
      </c>
      <c r="E27" s="13">
        <v>34</v>
      </c>
      <c r="F27" s="6" t="s">
        <v>736</v>
      </c>
      <c r="G27" s="14" t="s">
        <v>127</v>
      </c>
      <c r="H27" s="6">
        <v>3650</v>
      </c>
      <c r="I27" s="6">
        <f>3000+1950</f>
        <v>4950</v>
      </c>
      <c r="J27" s="6">
        <f>3000+1950</f>
        <v>4950</v>
      </c>
      <c r="K27" s="6">
        <f>752+892</f>
        <v>1644</v>
      </c>
      <c r="L27" s="6">
        <f>2700+L28</f>
        <v>2700</v>
      </c>
      <c r="M27" s="41" t="s">
        <v>211</v>
      </c>
      <c r="N27" s="41">
        <v>100</v>
      </c>
    </row>
    <row r="28" spans="1:14" x14ac:dyDescent="0.35">
      <c r="A28" s="6" t="s">
        <v>140</v>
      </c>
      <c r="B28" s="13"/>
      <c r="C28" s="13"/>
      <c r="D28" s="13"/>
      <c r="E28" s="13"/>
      <c r="F28" s="6"/>
      <c r="G28" s="14"/>
      <c r="H28" s="6"/>
      <c r="I28" s="6"/>
      <c r="J28" s="6"/>
      <c r="K28" s="6"/>
      <c r="L28" s="6"/>
      <c r="M28" s="27"/>
      <c r="N28" s="27"/>
    </row>
    <row r="30" spans="1:14" x14ac:dyDescent="0.35">
      <c r="A30" s="156" t="s">
        <v>104</v>
      </c>
      <c r="B30" s="156"/>
    </row>
    <row r="31" spans="1:14" x14ac:dyDescent="0.35">
      <c r="A31" s="5" t="s">
        <v>78</v>
      </c>
      <c r="B31" s="5" t="s">
        <v>79</v>
      </c>
    </row>
    <row r="32" spans="1:14" x14ac:dyDescent="0.35">
      <c r="A32" s="2" t="s">
        <v>464</v>
      </c>
      <c r="B32" s="13" t="s">
        <v>187</v>
      </c>
    </row>
    <row r="33" spans="1:6" x14ac:dyDescent="0.35">
      <c r="A33" s="2" t="s">
        <v>172</v>
      </c>
      <c r="B33" s="13">
        <f>205*3</f>
        <v>615</v>
      </c>
    </row>
    <row r="36" spans="1:6" x14ac:dyDescent="0.35">
      <c r="A36" s="156" t="s">
        <v>298</v>
      </c>
      <c r="B36" s="156"/>
    </row>
    <row r="37" spans="1:6" x14ac:dyDescent="0.35">
      <c r="A37" s="5" t="s">
        <v>80</v>
      </c>
      <c r="B37" s="5" t="s">
        <v>81</v>
      </c>
    </row>
    <row r="38" spans="1:6" x14ac:dyDescent="0.35">
      <c r="A38" s="2" t="s">
        <v>128</v>
      </c>
      <c r="B38" s="13" t="s">
        <v>187</v>
      </c>
    </row>
    <row r="39" spans="1:6" x14ac:dyDescent="0.35">
      <c r="A39" s="2" t="s">
        <v>129</v>
      </c>
      <c r="B39" s="13" t="s">
        <v>465</v>
      </c>
      <c r="C39" s="8">
        <v>80</v>
      </c>
    </row>
    <row r="40" spans="1:6" x14ac:dyDescent="0.35">
      <c r="A40" s="6" t="s">
        <v>106</v>
      </c>
      <c r="B40" s="13" t="s">
        <v>466</v>
      </c>
      <c r="C40" s="8">
        <v>70</v>
      </c>
    </row>
    <row r="42" spans="1:6" x14ac:dyDescent="0.35">
      <c r="A42" s="156" t="s">
        <v>105</v>
      </c>
      <c r="B42" s="156"/>
      <c r="C42" s="156"/>
      <c r="D42" s="156"/>
    </row>
    <row r="43" spans="1:6" s="23" customFormat="1" x14ac:dyDescent="0.35">
      <c r="A43" s="10" t="s">
        <v>82</v>
      </c>
      <c r="B43" s="10" t="s">
        <v>83</v>
      </c>
      <c r="C43" s="10" t="s">
        <v>84</v>
      </c>
      <c r="D43" s="10" t="s">
        <v>85</v>
      </c>
      <c r="F43" s="8"/>
    </row>
    <row r="44" spans="1:6" x14ac:dyDescent="0.35">
      <c r="A44" s="6" t="s">
        <v>130</v>
      </c>
      <c r="B44" s="6" t="s">
        <v>467</v>
      </c>
      <c r="C44" s="13">
        <v>19</v>
      </c>
      <c r="D44" s="22">
        <f>C44*35.3146</f>
        <v>670.97739999999999</v>
      </c>
    </row>
    <row r="45" spans="1:6" x14ac:dyDescent="0.35">
      <c r="A45" s="6" t="s">
        <v>468</v>
      </c>
      <c r="B45" s="6" t="s">
        <v>303</v>
      </c>
      <c r="C45" s="13">
        <v>150</v>
      </c>
      <c r="D45" s="22">
        <f t="shared" ref="D45:D59" si="0">C45*35.3146</f>
        <v>5297.19</v>
      </c>
    </row>
    <row r="46" spans="1:6" x14ac:dyDescent="0.35">
      <c r="A46" s="6" t="s">
        <v>133</v>
      </c>
      <c r="B46" s="6" t="s">
        <v>303</v>
      </c>
      <c r="C46" s="13">
        <v>100</v>
      </c>
      <c r="D46" s="22">
        <f t="shared" si="0"/>
        <v>3531.46</v>
      </c>
    </row>
    <row r="47" spans="1:6" x14ac:dyDescent="0.35">
      <c r="A47" s="2" t="s">
        <v>134</v>
      </c>
      <c r="B47" s="6" t="s">
        <v>303</v>
      </c>
      <c r="C47" s="13">
        <v>100</v>
      </c>
      <c r="D47" s="22">
        <f t="shared" si="0"/>
        <v>3531.46</v>
      </c>
    </row>
    <row r="48" spans="1:6" x14ac:dyDescent="0.35">
      <c r="A48" s="2" t="s">
        <v>469</v>
      </c>
      <c r="B48" s="6" t="s">
        <v>303</v>
      </c>
      <c r="C48" s="13">
        <v>600</v>
      </c>
      <c r="D48" s="22">
        <f t="shared" si="0"/>
        <v>21188.76</v>
      </c>
    </row>
    <row r="49" spans="1:38" x14ac:dyDescent="0.35">
      <c r="A49" s="2" t="s">
        <v>470</v>
      </c>
      <c r="B49" s="6" t="s">
        <v>135</v>
      </c>
      <c r="C49" s="13">
        <v>64</v>
      </c>
      <c r="D49" s="22">
        <f t="shared" si="0"/>
        <v>2260.1343999999999</v>
      </c>
    </row>
    <row r="50" spans="1:38" x14ac:dyDescent="0.35">
      <c r="A50" s="6" t="s">
        <v>471</v>
      </c>
      <c r="B50" s="6" t="s">
        <v>135</v>
      </c>
      <c r="C50" s="13">
        <v>31</v>
      </c>
      <c r="D50" s="22">
        <f t="shared" si="0"/>
        <v>1094.7526</v>
      </c>
    </row>
    <row r="51" spans="1:38" x14ac:dyDescent="0.35">
      <c r="A51" s="6" t="s">
        <v>472</v>
      </c>
      <c r="B51" s="6" t="s">
        <v>135</v>
      </c>
      <c r="C51" s="13">
        <v>1</v>
      </c>
      <c r="D51" s="22">
        <f t="shared" si="0"/>
        <v>35.314599999999999</v>
      </c>
    </row>
    <row r="52" spans="1:38" x14ac:dyDescent="0.35">
      <c r="A52" s="2" t="s">
        <v>473</v>
      </c>
      <c r="B52" s="6" t="s">
        <v>474</v>
      </c>
      <c r="C52" s="13">
        <v>250</v>
      </c>
      <c r="D52" s="22">
        <f t="shared" si="0"/>
        <v>8828.65</v>
      </c>
    </row>
    <row r="53" spans="1:38" x14ac:dyDescent="0.35">
      <c r="A53" s="2" t="s">
        <v>475</v>
      </c>
      <c r="B53" s="6" t="s">
        <v>476</v>
      </c>
      <c r="C53" s="13">
        <v>35</v>
      </c>
      <c r="D53" s="22">
        <f t="shared" si="0"/>
        <v>1236.011</v>
      </c>
    </row>
    <row r="54" spans="1:38" x14ac:dyDescent="0.35">
      <c r="A54" s="2" t="s">
        <v>471</v>
      </c>
      <c r="B54" s="6" t="s">
        <v>476</v>
      </c>
      <c r="C54" s="13">
        <v>15</v>
      </c>
      <c r="D54" s="22">
        <f t="shared" si="0"/>
        <v>529.71899999999994</v>
      </c>
    </row>
    <row r="55" spans="1:38" x14ac:dyDescent="0.35">
      <c r="A55" s="2" t="s">
        <v>477</v>
      </c>
      <c r="B55" s="2" t="s">
        <v>478</v>
      </c>
      <c r="C55" s="13">
        <v>102</v>
      </c>
      <c r="D55" s="22">
        <f t="shared" si="0"/>
        <v>3602.0891999999999</v>
      </c>
    </row>
    <row r="56" spans="1:38" x14ac:dyDescent="0.35">
      <c r="A56" s="2" t="s">
        <v>479</v>
      </c>
      <c r="B56" s="2" t="s">
        <v>478</v>
      </c>
      <c r="C56" s="13">
        <v>84</v>
      </c>
      <c r="D56" s="22">
        <f t="shared" si="0"/>
        <v>2966.4263999999998</v>
      </c>
    </row>
    <row r="57" spans="1:38" x14ac:dyDescent="0.35">
      <c r="A57" s="2" t="s">
        <v>480</v>
      </c>
      <c r="B57" s="2" t="s">
        <v>478</v>
      </c>
      <c r="C57" s="13">
        <v>50</v>
      </c>
      <c r="D57" s="22">
        <f t="shared" si="0"/>
        <v>1765.73</v>
      </c>
    </row>
    <row r="58" spans="1:38" x14ac:dyDescent="0.35">
      <c r="A58" s="2" t="s">
        <v>481</v>
      </c>
      <c r="B58" s="2" t="s">
        <v>478</v>
      </c>
      <c r="C58" s="13">
        <v>15</v>
      </c>
      <c r="D58" s="22">
        <f t="shared" si="0"/>
        <v>529.71899999999994</v>
      </c>
    </row>
    <row r="59" spans="1:38" x14ac:dyDescent="0.35">
      <c r="A59" s="2" t="s">
        <v>482</v>
      </c>
      <c r="B59" s="2" t="s">
        <v>478</v>
      </c>
      <c r="C59" s="13">
        <v>40</v>
      </c>
      <c r="D59" s="22">
        <f t="shared" si="0"/>
        <v>1412.5839999999998</v>
      </c>
    </row>
    <row r="60" spans="1:38" x14ac:dyDescent="0.35">
      <c r="A60" s="163" t="s">
        <v>92</v>
      </c>
      <c r="B60" s="164"/>
      <c r="C60" s="164"/>
      <c r="D60" s="165"/>
      <c r="E60" s="10"/>
      <c r="F60" s="10"/>
      <c r="G60" s="10"/>
      <c r="H60" s="10"/>
      <c r="I60" s="10"/>
      <c r="J60" s="10"/>
    </row>
    <row r="61" spans="1:38" s="23" customFormat="1" x14ac:dyDescent="0.35">
      <c r="A61" s="10" t="s">
        <v>22</v>
      </c>
      <c r="B61" s="10" t="s">
        <v>30</v>
      </c>
      <c r="C61" s="10" t="s">
        <v>31</v>
      </c>
      <c r="D61" s="10" t="s">
        <v>32</v>
      </c>
      <c r="E61" s="10" t="s">
        <v>33</v>
      </c>
      <c r="F61" s="10" t="s">
        <v>34</v>
      </c>
      <c r="G61" s="10" t="s">
        <v>35</v>
      </c>
      <c r="H61" s="10" t="s">
        <v>36</v>
      </c>
      <c r="I61" s="10" t="s">
        <v>37</v>
      </c>
      <c r="J61" s="10" t="s">
        <v>38</v>
      </c>
    </row>
    <row r="62" spans="1:38" x14ac:dyDescent="0.35">
      <c r="A62" s="2" t="s">
        <v>483</v>
      </c>
      <c r="B62" s="15">
        <v>315</v>
      </c>
      <c r="C62" s="15">
        <v>309</v>
      </c>
      <c r="D62" s="15">
        <v>0</v>
      </c>
      <c r="E62" s="15">
        <v>49</v>
      </c>
      <c r="F62" s="15">
        <v>260</v>
      </c>
      <c r="G62" s="15">
        <v>0</v>
      </c>
      <c r="H62" s="15">
        <v>0</v>
      </c>
      <c r="I62" s="15">
        <v>4</v>
      </c>
      <c r="J62" s="15">
        <v>2</v>
      </c>
    </row>
    <row r="63" spans="1:38" ht="29" x14ac:dyDescent="0.35">
      <c r="A63" s="2" t="s">
        <v>687</v>
      </c>
      <c r="B63" s="15">
        <v>91</v>
      </c>
      <c r="C63" s="15">
        <v>111</v>
      </c>
      <c r="D63" s="15">
        <v>0</v>
      </c>
      <c r="E63" s="15">
        <v>111</v>
      </c>
      <c r="F63" s="15"/>
      <c r="G63" s="15">
        <v>0</v>
      </c>
      <c r="H63" s="15">
        <v>0</v>
      </c>
      <c r="I63" s="15">
        <v>0</v>
      </c>
      <c r="J63" s="15">
        <v>0</v>
      </c>
    </row>
    <row r="64" spans="1:38" ht="29" x14ac:dyDescent="0.35">
      <c r="A64" s="6" t="s">
        <v>737</v>
      </c>
      <c r="B64" s="15">
        <v>47</v>
      </c>
      <c r="C64" s="15">
        <v>47</v>
      </c>
      <c r="D64" s="15">
        <v>0</v>
      </c>
      <c r="E64" s="15">
        <v>0</v>
      </c>
      <c r="F64" s="15">
        <v>47</v>
      </c>
      <c r="G64" s="15">
        <v>0</v>
      </c>
      <c r="H64" s="15">
        <v>0</v>
      </c>
      <c r="I64" s="15">
        <v>0</v>
      </c>
      <c r="J64" s="15">
        <v>0</v>
      </c>
      <c r="N64" s="192" t="s">
        <v>816</v>
      </c>
      <c r="O64" s="21" t="s">
        <v>840</v>
      </c>
      <c r="P64" s="21" t="s">
        <v>817</v>
      </c>
      <c r="Q64" s="21" t="s">
        <v>818</v>
      </c>
      <c r="R64" s="21" t="s">
        <v>819</v>
      </c>
      <c r="S64" s="21" t="s">
        <v>820</v>
      </c>
      <c r="T64" s="21" t="s">
        <v>821</v>
      </c>
      <c r="U64" s="21" t="s">
        <v>822</v>
      </c>
      <c r="V64" s="21" t="s">
        <v>823</v>
      </c>
      <c r="W64" s="21" t="s">
        <v>824</v>
      </c>
      <c r="X64" s="21" t="s">
        <v>825</v>
      </c>
      <c r="Y64" s="21" t="s">
        <v>826</v>
      </c>
      <c r="Z64" s="21" t="s">
        <v>827</v>
      </c>
      <c r="AA64" s="21" t="s">
        <v>828</v>
      </c>
      <c r="AB64" s="21" t="s">
        <v>829</v>
      </c>
      <c r="AC64" s="21" t="s">
        <v>830</v>
      </c>
      <c r="AD64" s="21" t="s">
        <v>831</v>
      </c>
      <c r="AE64" s="21" t="s">
        <v>832</v>
      </c>
      <c r="AF64" s="21" t="s">
        <v>833</v>
      </c>
      <c r="AG64" s="21" t="s">
        <v>834</v>
      </c>
      <c r="AH64" s="21" t="s">
        <v>835</v>
      </c>
      <c r="AI64" s="21" t="s">
        <v>836</v>
      </c>
      <c r="AJ64" s="21" t="s">
        <v>837</v>
      </c>
      <c r="AK64" s="21" t="s">
        <v>838</v>
      </c>
      <c r="AL64" s="21" t="s">
        <v>839</v>
      </c>
    </row>
    <row r="65" spans="1:35" x14ac:dyDescent="0.35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35" ht="29" x14ac:dyDescent="0.35">
      <c r="A66" s="163" t="s">
        <v>109</v>
      </c>
      <c r="B66" s="164"/>
      <c r="C66" s="164"/>
      <c r="D66" s="165"/>
      <c r="E66" s="10"/>
      <c r="F66" s="10"/>
      <c r="G66" s="10"/>
      <c r="H66" s="10"/>
      <c r="I66" s="10"/>
      <c r="J66" s="10"/>
      <c r="S66" s="23" t="s">
        <v>841</v>
      </c>
      <c r="T66" s="8" t="s">
        <v>842</v>
      </c>
      <c r="U66" s="8" t="s">
        <v>843</v>
      </c>
      <c r="V66" s="8" t="s">
        <v>844</v>
      </c>
      <c r="W66" s="23" t="s">
        <v>845</v>
      </c>
      <c r="X66" s="8" t="s">
        <v>846</v>
      </c>
      <c r="Y66" s="8" t="s">
        <v>847</v>
      </c>
      <c r="Z66" s="8" t="s">
        <v>848</v>
      </c>
      <c r="AA66" s="8" t="s">
        <v>849</v>
      </c>
      <c r="AB66" s="8" t="s">
        <v>850</v>
      </c>
      <c r="AC66" s="8" t="s">
        <v>851</v>
      </c>
      <c r="AD66" s="8" t="s">
        <v>852</v>
      </c>
      <c r="AE66" s="8" t="s">
        <v>853</v>
      </c>
      <c r="AF66" s="8" t="s">
        <v>854</v>
      </c>
      <c r="AG66" s="8" t="s">
        <v>855</v>
      </c>
      <c r="AH66" s="8" t="s">
        <v>856</v>
      </c>
      <c r="AI66" s="8" t="s">
        <v>857</v>
      </c>
    </row>
    <row r="67" spans="1:35" s="23" customFormat="1" ht="29" x14ac:dyDescent="0.35">
      <c r="A67" s="10" t="s">
        <v>22</v>
      </c>
      <c r="B67" s="10" t="s">
        <v>30</v>
      </c>
      <c r="C67" s="10" t="s">
        <v>31</v>
      </c>
      <c r="D67" s="10" t="s">
        <v>32</v>
      </c>
      <c r="E67" s="10" t="s">
        <v>33</v>
      </c>
      <c r="F67" s="10" t="s">
        <v>34</v>
      </c>
      <c r="G67" s="10" t="s">
        <v>35</v>
      </c>
      <c r="H67" s="10" t="s">
        <v>36</v>
      </c>
      <c r="I67" s="10" t="s">
        <v>37</v>
      </c>
      <c r="J67" s="10" t="s">
        <v>38</v>
      </c>
      <c r="M67" s="191" t="s">
        <v>816</v>
      </c>
      <c r="N67" s="192" t="s">
        <v>816</v>
      </c>
      <c r="O67" s="23" t="str">
        <f>PROPER(N67)</f>
        <v>Hvac High Side</v>
      </c>
      <c r="Q67" s="191">
        <v>1</v>
      </c>
      <c r="R67" s="23" t="s">
        <v>841</v>
      </c>
    </row>
    <row r="68" spans="1:35" ht="29" x14ac:dyDescent="0.35">
      <c r="A68" s="17">
        <v>0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M68" s="191">
        <v>2</v>
      </c>
      <c r="N68" s="21" t="s">
        <v>840</v>
      </c>
      <c r="O68" s="23" t="str">
        <f t="shared" ref="O68:O91" si="1">PROPER(N68)</f>
        <v>Hvac Low Side</v>
      </c>
      <c r="Q68" s="191">
        <v>2</v>
      </c>
      <c r="R68" s="8" t="s">
        <v>842</v>
      </c>
    </row>
    <row r="69" spans="1:35" x14ac:dyDescent="0.35">
      <c r="A69" s="13">
        <v>0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M69" s="191">
        <v>3</v>
      </c>
      <c r="N69" s="21" t="s">
        <v>817</v>
      </c>
      <c r="O69" s="23" t="str">
        <f t="shared" si="1"/>
        <v>       Ro Plant</v>
      </c>
      <c r="Q69" s="191">
        <v>3</v>
      </c>
      <c r="R69" s="8" t="s">
        <v>843</v>
      </c>
    </row>
    <row r="70" spans="1:35" ht="29" x14ac:dyDescent="0.35">
      <c r="B70" s="6"/>
      <c r="C70" s="6"/>
      <c r="D70" s="6"/>
      <c r="E70" s="6"/>
      <c r="F70" s="6"/>
      <c r="G70" s="6"/>
      <c r="H70" s="6"/>
      <c r="I70" s="6"/>
      <c r="J70" s="6"/>
      <c r="M70" s="191">
        <v>4</v>
      </c>
      <c r="N70" s="21" t="s">
        <v>818</v>
      </c>
      <c r="O70" s="23" t="str">
        <f t="shared" si="1"/>
        <v>       Chemical Treatment Plant</v>
      </c>
      <c r="Q70" s="191">
        <v>4</v>
      </c>
      <c r="R70" s="8" t="s">
        <v>844</v>
      </c>
    </row>
    <row r="71" spans="1:35" s="23" customFormat="1" x14ac:dyDescent="0.35">
      <c r="B71" s="12" t="s">
        <v>25</v>
      </c>
      <c r="C71" s="10" t="s">
        <v>26</v>
      </c>
      <c r="D71" s="12" t="s">
        <v>27</v>
      </c>
      <c r="E71" s="10" t="s">
        <v>26</v>
      </c>
      <c r="F71" s="12" t="s">
        <v>28</v>
      </c>
      <c r="G71" s="10" t="s">
        <v>26</v>
      </c>
      <c r="H71" s="12" t="s">
        <v>29</v>
      </c>
      <c r="I71" s="10" t="s">
        <v>138</v>
      </c>
      <c r="J71" s="10" t="s">
        <v>26</v>
      </c>
      <c r="M71" s="191">
        <v>5</v>
      </c>
      <c r="N71" s="21" t="s">
        <v>819</v>
      </c>
      <c r="O71" s="23" t="str">
        <f t="shared" si="1"/>
        <v>       Electrical High Side</v>
      </c>
      <c r="Q71" s="191">
        <v>5</v>
      </c>
      <c r="R71" s="23" t="s">
        <v>845</v>
      </c>
    </row>
    <row r="72" spans="1:35" x14ac:dyDescent="0.35">
      <c r="A72" s="6" t="s">
        <v>450</v>
      </c>
      <c r="B72" s="6" t="s">
        <v>136</v>
      </c>
      <c r="C72" s="13">
        <v>6</v>
      </c>
      <c r="D72" s="6" t="s">
        <v>95</v>
      </c>
      <c r="E72" s="13">
        <v>2</v>
      </c>
      <c r="F72" s="2" t="s">
        <v>97</v>
      </c>
      <c r="G72" s="13">
        <v>1</v>
      </c>
      <c r="H72" s="7" t="s">
        <v>187</v>
      </c>
      <c r="I72" s="7" t="s">
        <v>187</v>
      </c>
      <c r="J72" s="7" t="s">
        <v>187</v>
      </c>
      <c r="M72" s="191">
        <v>6</v>
      </c>
      <c r="N72" s="21" t="s">
        <v>820</v>
      </c>
      <c r="O72" s="23" t="str">
        <f t="shared" si="1"/>
        <v>       Electrical Low Side</v>
      </c>
      <c r="Q72" s="191">
        <v>6</v>
      </c>
      <c r="R72" s="8" t="s">
        <v>846</v>
      </c>
    </row>
    <row r="73" spans="1:35" ht="29" x14ac:dyDescent="0.35">
      <c r="A73" s="6"/>
      <c r="B73" s="6"/>
      <c r="C73" s="6"/>
      <c r="D73" s="6" t="s">
        <v>161</v>
      </c>
      <c r="E73" s="13">
        <v>2</v>
      </c>
      <c r="F73" s="2" t="s">
        <v>98</v>
      </c>
      <c r="G73" s="13">
        <v>1</v>
      </c>
      <c r="H73" s="7" t="s">
        <v>187</v>
      </c>
      <c r="I73" s="7" t="s">
        <v>187</v>
      </c>
      <c r="J73" s="7" t="s">
        <v>187</v>
      </c>
      <c r="M73" s="191">
        <v>7</v>
      </c>
      <c r="N73" s="21" t="s">
        <v>821</v>
      </c>
      <c r="O73" s="23" t="str">
        <f t="shared" si="1"/>
        <v>       Transformer</v>
      </c>
      <c r="Q73" s="191">
        <v>7</v>
      </c>
      <c r="R73" s="8" t="s">
        <v>847</v>
      </c>
    </row>
    <row r="74" spans="1:35" x14ac:dyDescent="0.35">
      <c r="A74" s="6"/>
      <c r="B74" s="6"/>
      <c r="C74" s="6"/>
      <c r="D74" s="2" t="s">
        <v>96</v>
      </c>
      <c r="E74" s="13">
        <v>2</v>
      </c>
      <c r="F74" s="2" t="s">
        <v>137</v>
      </c>
      <c r="G74" s="13">
        <v>0</v>
      </c>
      <c r="H74" s="7" t="s">
        <v>187</v>
      </c>
      <c r="I74" s="7" t="s">
        <v>187</v>
      </c>
      <c r="J74" s="7" t="s">
        <v>187</v>
      </c>
      <c r="M74" s="191">
        <v>8</v>
      </c>
      <c r="N74" s="21" t="s">
        <v>822</v>
      </c>
      <c r="O74" s="23" t="str">
        <f t="shared" si="1"/>
        <v>       Bus Duct Raiser</v>
      </c>
      <c r="Q74" s="191">
        <v>8</v>
      </c>
      <c r="R74" s="8" t="s">
        <v>848</v>
      </c>
    </row>
    <row r="75" spans="1:35" x14ac:dyDescent="0.35">
      <c r="D75" s="2" t="s">
        <v>163</v>
      </c>
      <c r="E75" s="13">
        <v>54</v>
      </c>
      <c r="F75" s="2" t="s">
        <v>165</v>
      </c>
      <c r="G75" s="13">
        <v>2</v>
      </c>
      <c r="I75" s="23"/>
      <c r="J75" s="23"/>
      <c r="M75" s="191">
        <v>9</v>
      </c>
      <c r="N75" s="21" t="s">
        <v>823</v>
      </c>
      <c r="O75" s="23" t="str">
        <f t="shared" si="1"/>
        <v>       Wtp</v>
      </c>
      <c r="Q75" s="191">
        <v>9</v>
      </c>
      <c r="R75" s="8" t="s">
        <v>849</v>
      </c>
    </row>
    <row r="76" spans="1:35" x14ac:dyDescent="0.35">
      <c r="D76" s="2" t="s">
        <v>164</v>
      </c>
      <c r="E76" s="13">
        <v>0</v>
      </c>
      <c r="F76" s="16" t="s">
        <v>166</v>
      </c>
      <c r="G76" s="15">
        <v>2</v>
      </c>
      <c r="I76" s="23"/>
      <c r="J76" s="23"/>
      <c r="M76" s="191">
        <v>10</v>
      </c>
      <c r="N76" s="21" t="s">
        <v>824</v>
      </c>
      <c r="O76" s="23" t="str">
        <f t="shared" si="1"/>
        <v>   Phe Systems</v>
      </c>
      <c r="Q76" s="191">
        <v>10</v>
      </c>
      <c r="R76" s="8" t="s">
        <v>850</v>
      </c>
    </row>
    <row r="77" spans="1:35" x14ac:dyDescent="0.35">
      <c r="D77" s="2" t="s">
        <v>162</v>
      </c>
      <c r="E77" s="13">
        <v>3</v>
      </c>
      <c r="F77" s="29"/>
      <c r="G77" s="23"/>
      <c r="I77" s="23"/>
      <c r="J77" s="23"/>
      <c r="M77" s="191">
        <v>11</v>
      </c>
      <c r="N77" s="21" t="s">
        <v>825</v>
      </c>
      <c r="O77" s="23" t="str">
        <f t="shared" si="1"/>
        <v>   Stp</v>
      </c>
      <c r="Q77" s="191">
        <v>11</v>
      </c>
      <c r="R77" s="8" t="s">
        <v>851</v>
      </c>
    </row>
    <row r="78" spans="1:35" x14ac:dyDescent="0.35">
      <c r="D78" s="2" t="s">
        <v>170</v>
      </c>
      <c r="E78" s="13">
        <v>0</v>
      </c>
      <c r="M78" s="191">
        <v>12</v>
      </c>
      <c r="N78" s="21" t="s">
        <v>826</v>
      </c>
      <c r="O78" s="23" t="str">
        <f t="shared" si="1"/>
        <v>   Lifts</v>
      </c>
      <c r="Q78" s="191">
        <v>12</v>
      </c>
      <c r="R78" s="8" t="s">
        <v>852</v>
      </c>
    </row>
    <row r="79" spans="1:35" x14ac:dyDescent="0.35">
      <c r="M79" s="191">
        <v>13</v>
      </c>
      <c r="N79" s="21" t="s">
        <v>827</v>
      </c>
      <c r="O79" s="23" t="str">
        <f t="shared" si="1"/>
        <v>   Bms</v>
      </c>
      <c r="Q79" s="191">
        <v>13</v>
      </c>
      <c r="R79" s="8" t="s">
        <v>853</v>
      </c>
    </row>
    <row r="80" spans="1:35" x14ac:dyDescent="0.35">
      <c r="A80" s="166" t="s">
        <v>101</v>
      </c>
      <c r="B80" s="167"/>
      <c r="C80" s="167"/>
      <c r="D80" s="167"/>
      <c r="E80" s="167"/>
      <c r="F80" s="168"/>
      <c r="M80" s="191">
        <v>14</v>
      </c>
      <c r="N80" s="21" t="s">
        <v>828</v>
      </c>
      <c r="O80" s="23" t="str">
        <f t="shared" si="1"/>
        <v>   Cpm</v>
      </c>
      <c r="Q80" s="191">
        <v>14</v>
      </c>
      <c r="R80" s="8" t="s">
        <v>854</v>
      </c>
    </row>
    <row r="81" spans="1:18" x14ac:dyDescent="0.35">
      <c r="A81" s="5" t="s">
        <v>10</v>
      </c>
      <c r="B81" s="5" t="s">
        <v>22</v>
      </c>
      <c r="C81" s="5" t="s">
        <v>24</v>
      </c>
      <c r="D81" s="5" t="s">
        <v>61</v>
      </c>
      <c r="E81" s="5" t="s">
        <v>62</v>
      </c>
      <c r="F81" s="5" t="s">
        <v>63</v>
      </c>
      <c r="M81" s="191">
        <v>15</v>
      </c>
      <c r="N81" s="21" t="s">
        <v>829</v>
      </c>
      <c r="O81" s="23" t="str">
        <f t="shared" si="1"/>
        <v>   Cctv</v>
      </c>
      <c r="Q81" s="191">
        <v>15</v>
      </c>
      <c r="R81" s="8" t="s">
        <v>855</v>
      </c>
    </row>
    <row r="82" spans="1:18" x14ac:dyDescent="0.35">
      <c r="A82" s="2"/>
      <c r="B82" s="2" t="s">
        <v>279</v>
      </c>
      <c r="C82" s="1"/>
      <c r="D82" s="24"/>
      <c r="E82" s="24">
        <v>37663.821400000001</v>
      </c>
      <c r="F82" s="25"/>
      <c r="M82" s="191">
        <v>16</v>
      </c>
      <c r="N82" s="21" t="s">
        <v>830</v>
      </c>
      <c r="O82" s="23" t="str">
        <f t="shared" si="1"/>
        <v>   Ups</v>
      </c>
      <c r="Q82" s="191">
        <v>16</v>
      </c>
      <c r="R82" s="8" t="s">
        <v>856</v>
      </c>
    </row>
    <row r="83" spans="1:18" x14ac:dyDescent="0.35">
      <c r="A83" s="2"/>
      <c r="B83" s="2" t="s">
        <v>280</v>
      </c>
      <c r="C83" s="26"/>
      <c r="D83" s="24"/>
      <c r="E83" s="24">
        <v>37663.82</v>
      </c>
      <c r="F83" s="25"/>
      <c r="H83" s="169"/>
      <c r="I83" s="169"/>
      <c r="J83" s="169"/>
      <c r="K83" s="169"/>
      <c r="M83" s="191">
        <v>17</v>
      </c>
      <c r="N83" s="21" t="s">
        <v>831</v>
      </c>
      <c r="O83" s="23" t="str">
        <f t="shared" si="1"/>
        <v>   Hsd</v>
      </c>
      <c r="Q83" s="191">
        <v>17</v>
      </c>
      <c r="R83" s="8" t="s">
        <v>857</v>
      </c>
    </row>
    <row r="84" spans="1:18" ht="29" x14ac:dyDescent="0.35">
      <c r="A84" s="2"/>
      <c r="B84" s="2" t="s">
        <v>281</v>
      </c>
      <c r="C84" s="1"/>
      <c r="D84" s="24"/>
      <c r="E84" s="24">
        <v>50013.433400000002</v>
      </c>
      <c r="F84" s="25"/>
      <c r="H84" s="30"/>
      <c r="I84" s="30"/>
      <c r="J84" s="170"/>
      <c r="K84" s="171"/>
      <c r="M84" s="191">
        <v>18</v>
      </c>
      <c r="N84" s="21" t="s">
        <v>832</v>
      </c>
      <c r="O84" s="23" t="str">
        <f t="shared" si="1"/>
        <v>   Basement Ventilation System</v>
      </c>
    </row>
    <row r="85" spans="1:18" ht="15" customHeight="1" x14ac:dyDescent="0.35">
      <c r="A85" s="2"/>
      <c r="B85" s="2" t="s">
        <v>282</v>
      </c>
      <c r="C85" s="1"/>
      <c r="D85" s="24"/>
      <c r="E85" s="24">
        <v>39893.089999999997</v>
      </c>
      <c r="F85" s="25"/>
      <c r="H85" s="172"/>
      <c r="I85" s="172"/>
      <c r="J85" s="170"/>
      <c r="K85" s="171"/>
      <c r="M85" s="191">
        <v>19</v>
      </c>
      <c r="N85" s="21" t="s">
        <v>833</v>
      </c>
      <c r="O85" s="23" t="str">
        <f t="shared" si="1"/>
        <v>   Fire Alarm System</v>
      </c>
    </row>
    <row r="86" spans="1:18" x14ac:dyDescent="0.35">
      <c r="A86" s="2"/>
      <c r="B86" s="2" t="s">
        <v>287</v>
      </c>
      <c r="C86" s="26"/>
      <c r="D86" s="24"/>
      <c r="E86" s="24">
        <v>40606.519999999997</v>
      </c>
      <c r="F86" s="25"/>
      <c r="H86" s="30"/>
      <c r="I86" s="30"/>
      <c r="J86" s="31"/>
      <c r="K86" s="31"/>
      <c r="M86" s="191">
        <v>20</v>
      </c>
      <c r="N86" s="21" t="s">
        <v>834</v>
      </c>
      <c r="O86" s="23" t="str">
        <f t="shared" si="1"/>
        <v>   Fire Protection System</v>
      </c>
    </row>
    <row r="87" spans="1:18" x14ac:dyDescent="0.35">
      <c r="A87" s="2"/>
      <c r="B87" s="2" t="s">
        <v>288</v>
      </c>
      <c r="C87" s="1"/>
      <c r="D87" s="24"/>
      <c r="E87" s="24">
        <v>41320.06</v>
      </c>
      <c r="F87" s="25"/>
      <c r="G87" s="9"/>
      <c r="H87" s="33"/>
      <c r="I87" s="33"/>
      <c r="J87" s="32"/>
      <c r="K87" s="32"/>
      <c r="M87" s="191">
        <v>21</v>
      </c>
      <c r="N87" s="21" t="s">
        <v>835</v>
      </c>
      <c r="O87" s="23" t="str">
        <f t="shared" si="1"/>
        <v>   Public Address System</v>
      </c>
    </row>
    <row r="88" spans="1:18" x14ac:dyDescent="0.35">
      <c r="A88" s="2"/>
      <c r="B88" s="2" t="s">
        <v>289</v>
      </c>
      <c r="C88" s="1"/>
      <c r="D88" s="24"/>
      <c r="E88" s="24">
        <v>42447.91</v>
      </c>
      <c r="F88" s="25"/>
      <c r="G88" s="9"/>
      <c r="H88" s="33"/>
      <c r="I88" s="33"/>
      <c r="J88" s="32"/>
      <c r="K88" s="32"/>
      <c r="M88" s="191">
        <v>22</v>
      </c>
      <c r="N88" s="21" t="s">
        <v>836</v>
      </c>
      <c r="O88" s="23" t="str">
        <f t="shared" si="1"/>
        <v>   Solar Systems</v>
      </c>
    </row>
    <row r="89" spans="1:18" x14ac:dyDescent="0.35">
      <c r="A89" s="2"/>
      <c r="B89" s="2" t="s">
        <v>290</v>
      </c>
      <c r="C89" s="1"/>
      <c r="D89" s="24"/>
      <c r="E89" s="25">
        <v>48197</v>
      </c>
      <c r="F89" s="25"/>
      <c r="G89" s="9"/>
      <c r="H89" s="33"/>
      <c r="I89" s="33"/>
      <c r="J89" s="32"/>
      <c r="K89" s="32"/>
      <c r="M89" s="191">
        <v>23</v>
      </c>
      <c r="N89" s="21" t="s">
        <v>837</v>
      </c>
      <c r="O89" s="23" t="str">
        <f t="shared" si="1"/>
        <v>   Water Features</v>
      </c>
    </row>
    <row r="90" spans="1:18" x14ac:dyDescent="0.35">
      <c r="A90" s="2"/>
      <c r="B90" s="2" t="s">
        <v>135</v>
      </c>
      <c r="C90" s="1"/>
      <c r="D90" s="24"/>
      <c r="E90" s="25"/>
      <c r="F90" s="25"/>
      <c r="G90" s="9"/>
      <c r="H90" s="33"/>
      <c r="I90" s="33"/>
      <c r="J90" s="32"/>
      <c r="K90" s="32"/>
      <c r="M90" s="191">
        <v>24</v>
      </c>
      <c r="N90" s="21" t="s">
        <v>838</v>
      </c>
      <c r="O90" s="23" t="str">
        <f t="shared" si="1"/>
        <v>   Diesel Generators</v>
      </c>
    </row>
    <row r="91" spans="1:18" x14ac:dyDescent="0.35">
      <c r="M91" s="191">
        <v>25</v>
      </c>
      <c r="N91" s="21" t="s">
        <v>839</v>
      </c>
      <c r="O91" s="23" t="str">
        <f t="shared" si="1"/>
        <v>   Boom Barriers</v>
      </c>
    </row>
    <row r="92" spans="1:18" x14ac:dyDescent="0.35">
      <c r="A92" s="155" t="s">
        <v>108</v>
      </c>
      <c r="B92" s="155"/>
      <c r="C92" s="155"/>
      <c r="D92" s="155"/>
      <c r="E92" s="155"/>
      <c r="F92" s="155"/>
    </row>
    <row r="94" spans="1:18" x14ac:dyDescent="0.35">
      <c r="A94" s="156" t="s">
        <v>100</v>
      </c>
      <c r="B94" s="156"/>
      <c r="C94" s="156"/>
      <c r="D94" s="156"/>
      <c r="E94" s="156"/>
      <c r="F94" s="156"/>
      <c r="G94" s="156"/>
      <c r="H94" s="156"/>
      <c r="I94" s="156"/>
      <c r="J94" s="156"/>
    </row>
    <row r="95" spans="1:18" x14ac:dyDescent="0.35">
      <c r="A95" s="5" t="s">
        <v>51</v>
      </c>
      <c r="B95" s="5" t="s">
        <v>52</v>
      </c>
      <c r="C95" s="5" t="s">
        <v>53</v>
      </c>
      <c r="D95" s="5" t="s">
        <v>54</v>
      </c>
      <c r="E95" s="5" t="s">
        <v>55</v>
      </c>
      <c r="F95" s="5" t="s">
        <v>56</v>
      </c>
      <c r="G95" s="5" t="s">
        <v>57</v>
      </c>
      <c r="H95" s="5" t="s">
        <v>58</v>
      </c>
      <c r="I95" s="5" t="s">
        <v>59</v>
      </c>
      <c r="J95" s="5" t="s">
        <v>60</v>
      </c>
    </row>
    <row r="96" spans="1:18" x14ac:dyDescent="0.35">
      <c r="A96" s="6" t="s">
        <v>450</v>
      </c>
      <c r="B96" s="6" t="s">
        <v>393</v>
      </c>
      <c r="C96" s="15"/>
      <c r="D96" s="15"/>
      <c r="E96" s="15">
        <v>1700</v>
      </c>
      <c r="F96" s="15">
        <v>205</v>
      </c>
      <c r="G96" s="15">
        <v>1905</v>
      </c>
      <c r="H96" s="15">
        <v>467</v>
      </c>
      <c r="I96" s="15">
        <v>0</v>
      </c>
      <c r="J96" s="15">
        <v>467</v>
      </c>
    </row>
    <row r="97" spans="1:14" x14ac:dyDescent="0.35">
      <c r="A97" s="6"/>
      <c r="B97" s="6"/>
      <c r="C97" s="13"/>
      <c r="D97" s="13"/>
      <c r="E97" s="13"/>
      <c r="F97" s="13"/>
      <c r="G97" s="13"/>
      <c r="H97" s="13"/>
      <c r="I97" s="13"/>
      <c r="J97" s="13"/>
    </row>
    <row r="98" spans="1:14" x14ac:dyDescent="0.35">
      <c r="N98" s="11"/>
    </row>
    <row r="99" spans="1:14" x14ac:dyDescent="0.35">
      <c r="A99" s="156" t="s">
        <v>102</v>
      </c>
      <c r="B99" s="156"/>
      <c r="C99" s="156"/>
      <c r="D99" s="156"/>
      <c r="N99" s="11"/>
    </row>
    <row r="100" spans="1:14" x14ac:dyDescent="0.35">
      <c r="A100" s="5" t="s">
        <v>68</v>
      </c>
      <c r="B100" s="5" t="s">
        <v>69</v>
      </c>
      <c r="C100" s="5" t="s">
        <v>70</v>
      </c>
      <c r="D100" s="5" t="s">
        <v>71</v>
      </c>
      <c r="N100" s="11"/>
    </row>
    <row r="101" spans="1:14" x14ac:dyDescent="0.35">
      <c r="A101" s="6" t="s">
        <v>178</v>
      </c>
      <c r="B101" s="13"/>
      <c r="C101" s="6" t="s">
        <v>484</v>
      </c>
      <c r="D101" s="6" t="s">
        <v>380</v>
      </c>
      <c r="N101" s="11"/>
    </row>
    <row r="102" spans="1:14" x14ac:dyDescent="0.35">
      <c r="A102" s="6" t="s">
        <v>178</v>
      </c>
      <c r="B102" s="13"/>
      <c r="C102" s="6" t="s">
        <v>485</v>
      </c>
      <c r="D102" s="6" t="s">
        <v>380</v>
      </c>
      <c r="N102" s="11"/>
    </row>
    <row r="103" spans="1:14" x14ac:dyDescent="0.35">
      <c r="A103" s="6" t="s">
        <v>178</v>
      </c>
      <c r="B103" s="13"/>
      <c r="C103" s="6" t="s">
        <v>486</v>
      </c>
      <c r="D103" s="6" t="s">
        <v>380</v>
      </c>
      <c r="N103" s="11"/>
    </row>
    <row r="104" spans="1:14" x14ac:dyDescent="0.35">
      <c r="A104" s="6" t="s">
        <v>178</v>
      </c>
      <c r="B104" s="13"/>
      <c r="C104" s="6" t="s">
        <v>487</v>
      </c>
      <c r="D104" s="6" t="s">
        <v>380</v>
      </c>
      <c r="N104" s="11"/>
    </row>
    <row r="105" spans="1:14" x14ac:dyDescent="0.35">
      <c r="A105" s="6" t="s">
        <v>178</v>
      </c>
      <c r="B105" s="6"/>
      <c r="C105" s="6" t="s">
        <v>488</v>
      </c>
      <c r="D105" s="6" t="s">
        <v>738</v>
      </c>
      <c r="N105" s="11"/>
    </row>
    <row r="106" spans="1:14" x14ac:dyDescent="0.35">
      <c r="A106" s="6" t="s">
        <v>178</v>
      </c>
      <c r="B106" s="6"/>
      <c r="C106" s="6" t="s">
        <v>489</v>
      </c>
      <c r="D106" s="6" t="s">
        <v>380</v>
      </c>
      <c r="N106" s="11"/>
    </row>
    <row r="107" spans="1:14" x14ac:dyDescent="0.35">
      <c r="A107" s="6" t="s">
        <v>178</v>
      </c>
      <c r="B107" s="6"/>
      <c r="C107" s="6" t="s">
        <v>490</v>
      </c>
      <c r="D107" s="6" t="s">
        <v>380</v>
      </c>
      <c r="N107" s="11"/>
    </row>
    <row r="108" spans="1:14" x14ac:dyDescent="0.35">
      <c r="A108" s="6" t="s">
        <v>178</v>
      </c>
      <c r="B108" s="6"/>
      <c r="C108" s="6" t="s">
        <v>491</v>
      </c>
      <c r="D108" s="6" t="s">
        <v>380</v>
      </c>
    </row>
    <row r="109" spans="1:14" x14ac:dyDescent="0.35">
      <c r="A109" s="6"/>
      <c r="B109" s="6"/>
      <c r="C109" s="6"/>
      <c r="D109" s="6"/>
      <c r="E109" s="6"/>
    </row>
    <row r="110" spans="1:14" x14ac:dyDescent="0.35">
      <c r="A110" s="5" t="s">
        <v>51</v>
      </c>
      <c r="B110" s="5" t="s">
        <v>64</v>
      </c>
      <c r="C110" s="5" t="s">
        <v>65</v>
      </c>
      <c r="D110" s="5" t="s">
        <v>66</v>
      </c>
      <c r="E110" s="5" t="s">
        <v>67</v>
      </c>
    </row>
    <row r="111" spans="1:14" ht="24.75" customHeight="1" x14ac:dyDescent="0.35">
      <c r="A111" s="53" t="s">
        <v>492</v>
      </c>
      <c r="B111" s="14" t="s">
        <v>493</v>
      </c>
      <c r="C111" s="54" t="s">
        <v>494</v>
      </c>
      <c r="D111" s="14">
        <v>9739695986</v>
      </c>
      <c r="E111" s="14" t="s">
        <v>495</v>
      </c>
    </row>
    <row r="112" spans="1:14" ht="27.75" customHeight="1" x14ac:dyDescent="0.35">
      <c r="A112" s="53" t="s">
        <v>496</v>
      </c>
      <c r="B112" s="14" t="s">
        <v>497</v>
      </c>
      <c r="C112" s="55" t="s">
        <v>498</v>
      </c>
      <c r="D112" s="14">
        <v>9632216087</v>
      </c>
      <c r="E112" s="14" t="s">
        <v>499</v>
      </c>
    </row>
    <row r="113" spans="1:12" ht="29" x14ac:dyDescent="0.35">
      <c r="A113" s="42" t="s">
        <v>500</v>
      </c>
      <c r="B113" s="14" t="s">
        <v>501</v>
      </c>
      <c r="C113" s="55" t="s">
        <v>502</v>
      </c>
      <c r="D113" s="14">
        <v>9686684467</v>
      </c>
      <c r="E113" s="14" t="s">
        <v>503</v>
      </c>
    </row>
    <row r="114" spans="1:12" ht="34.5" customHeight="1" x14ac:dyDescent="0.35">
      <c r="A114" s="14" t="s">
        <v>504</v>
      </c>
      <c r="B114" s="14" t="s">
        <v>505</v>
      </c>
      <c r="C114" s="56" t="s">
        <v>506</v>
      </c>
      <c r="D114" s="14">
        <v>7666915808</v>
      </c>
      <c r="E114" s="14"/>
    </row>
    <row r="115" spans="1:12" x14ac:dyDescent="0.35">
      <c r="A115" s="157" t="s">
        <v>99</v>
      </c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9"/>
    </row>
    <row r="116" spans="1:12" x14ac:dyDescent="0.35">
      <c r="A116" s="160"/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2"/>
    </row>
    <row r="117" spans="1:12" x14ac:dyDescent="0.35">
      <c r="A117" s="5" t="s">
        <v>39</v>
      </c>
      <c r="B117" s="5" t="s">
        <v>40</v>
      </c>
      <c r="C117" s="5" t="s">
        <v>41</v>
      </c>
      <c r="D117" s="5" t="s">
        <v>42</v>
      </c>
      <c r="E117" s="5" t="s">
        <v>43</v>
      </c>
      <c r="F117" s="5" t="s">
        <v>44</v>
      </c>
      <c r="G117" s="5" t="s">
        <v>45</v>
      </c>
      <c r="H117" s="5" t="s">
        <v>46</v>
      </c>
      <c r="I117" s="5" t="s">
        <v>47</v>
      </c>
      <c r="J117" s="5" t="s">
        <v>48</v>
      </c>
      <c r="K117" s="5" t="s">
        <v>49</v>
      </c>
      <c r="L117" s="5" t="s">
        <v>50</v>
      </c>
    </row>
    <row r="118" spans="1:12" x14ac:dyDescent="0.35">
      <c r="A118" s="6" t="s">
        <v>115</v>
      </c>
      <c r="B118" s="6" t="s">
        <v>344</v>
      </c>
      <c r="C118" s="6" t="s">
        <v>507</v>
      </c>
      <c r="D118" s="7"/>
      <c r="E118" s="7" t="s">
        <v>179</v>
      </c>
      <c r="F118" s="6" t="s">
        <v>346</v>
      </c>
      <c r="G118" s="6" t="s">
        <v>508</v>
      </c>
      <c r="H118" s="6" t="s">
        <v>509</v>
      </c>
      <c r="I118" s="6" t="s">
        <v>228</v>
      </c>
      <c r="J118" s="6"/>
      <c r="K118" s="7"/>
      <c r="L118" s="6" t="s">
        <v>139</v>
      </c>
    </row>
    <row r="119" spans="1:12" x14ac:dyDescent="0.35">
      <c r="A119" s="6"/>
      <c r="B119" s="6"/>
      <c r="C119" s="6"/>
      <c r="D119" s="7"/>
      <c r="E119" s="7" t="s">
        <v>180</v>
      </c>
      <c r="F119" s="6"/>
      <c r="G119" s="6"/>
      <c r="H119" s="6"/>
      <c r="I119" s="6"/>
      <c r="J119" s="6"/>
      <c r="K119" s="7"/>
      <c r="L119" s="6"/>
    </row>
    <row r="120" spans="1:12" x14ac:dyDescent="0.35">
      <c r="A120" s="6"/>
      <c r="B120" s="6"/>
      <c r="C120" s="6"/>
      <c r="D120" s="7"/>
      <c r="E120" s="7" t="s">
        <v>181</v>
      </c>
      <c r="F120" s="6"/>
      <c r="G120" s="6"/>
      <c r="H120" s="6"/>
      <c r="I120" s="6"/>
      <c r="J120" s="6"/>
      <c r="K120" s="7"/>
      <c r="L120" s="6"/>
    </row>
  </sheetData>
  <mergeCells count="17">
    <mergeCell ref="A92:F92"/>
    <mergeCell ref="A94:J94"/>
    <mergeCell ref="A99:D99"/>
    <mergeCell ref="A115:L116"/>
    <mergeCell ref="A60:D60"/>
    <mergeCell ref="A66:D66"/>
    <mergeCell ref="A80:F80"/>
    <mergeCell ref="H83:K83"/>
    <mergeCell ref="J84:J85"/>
    <mergeCell ref="K84:K85"/>
    <mergeCell ref="H85:I85"/>
    <mergeCell ref="A42:D42"/>
    <mergeCell ref="A1:L2"/>
    <mergeCell ref="A13:E13"/>
    <mergeCell ref="A25:L25"/>
    <mergeCell ref="A30:B30"/>
    <mergeCell ref="A36:B36"/>
  </mergeCells>
  <hyperlinks>
    <hyperlink ref="C114" r:id="rId1" display="mailto:prashant.mathur@viverointernational.com" xr:uid="{00000000-0004-0000-0900-000000000000}"/>
    <hyperlink ref="C113" r:id="rId2" xr:uid="{00000000-0004-0000-0900-000001000000}"/>
    <hyperlink ref="C112" r:id="rId3" xr:uid="{00000000-0004-0000-0900-000002000000}"/>
    <hyperlink ref="C111" r:id="rId4" xr:uid="{00000000-0004-0000-0900-000003000000}"/>
  </hyperlinks>
  <pageMargins left="0.7" right="0.7" top="0.75" bottom="0.75" header="0.3" footer="0.3"/>
  <pageSetup paperSize="9" orientation="portrait"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27"/>
  <sheetViews>
    <sheetView topLeftCell="F62" workbookViewId="0">
      <selection activeCell="J68" sqref="J68"/>
    </sheetView>
  </sheetViews>
  <sheetFormatPr defaultColWidth="24.1796875" defaultRowHeight="14.5" x14ac:dyDescent="0.35"/>
  <cols>
    <col min="1" max="1" width="31" style="8" customWidth="1"/>
    <col min="2" max="2" width="24.1796875" style="8"/>
    <col min="3" max="3" width="25.54296875" style="8" customWidth="1"/>
    <col min="4" max="4" width="40" style="8" customWidth="1"/>
    <col min="5" max="5" width="20.54296875" style="8" bestFit="1" customWidth="1"/>
    <col min="6" max="6" width="24.81640625" style="8" bestFit="1" customWidth="1"/>
    <col min="7" max="7" width="18.54296875" style="8" bestFit="1" customWidth="1"/>
    <col min="8" max="8" width="28.453125" style="8" bestFit="1" customWidth="1"/>
    <col min="9" max="16384" width="24.1796875" style="8"/>
  </cols>
  <sheetData>
    <row r="1" spans="1:12" s="4" customFormat="1" x14ac:dyDescent="0.35">
      <c r="A1" s="156" t="s">
        <v>87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</row>
    <row r="2" spans="1:12" s="4" customFormat="1" x14ac:dyDescent="0.35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</row>
    <row r="3" spans="1:12" s="4" customFormat="1" x14ac:dyDescent="0.35">
      <c r="A3" s="5" t="s">
        <v>86</v>
      </c>
      <c r="B3" s="5" t="s">
        <v>1</v>
      </c>
      <c r="C3" s="5" t="s">
        <v>0</v>
      </c>
      <c r="D3" s="5" t="s">
        <v>107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</row>
    <row r="4" spans="1:12" ht="58" x14ac:dyDescent="0.35">
      <c r="A4" s="18">
        <v>1</v>
      </c>
      <c r="B4" s="18" t="s">
        <v>510</v>
      </c>
      <c r="C4" s="18" t="s">
        <v>88</v>
      </c>
      <c r="D4" s="19" t="s">
        <v>511</v>
      </c>
      <c r="E4" s="18" t="s">
        <v>88</v>
      </c>
      <c r="F4" s="18" t="s">
        <v>110</v>
      </c>
      <c r="G4" s="18" t="s">
        <v>392</v>
      </c>
      <c r="H4" s="3" t="s">
        <v>393</v>
      </c>
      <c r="I4" s="18" t="s">
        <v>89</v>
      </c>
      <c r="J4" s="3" t="s">
        <v>90</v>
      </c>
      <c r="K4" s="18" t="s">
        <v>512</v>
      </c>
      <c r="L4" s="20">
        <v>1</v>
      </c>
    </row>
    <row r="5" spans="1:12" x14ac:dyDescent="0.3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x14ac:dyDescent="0.35">
      <c r="G6" s="21"/>
      <c r="H6" s="21"/>
      <c r="I6" s="21"/>
      <c r="J6" s="21"/>
      <c r="K6" s="21"/>
      <c r="L6" s="21"/>
    </row>
    <row r="8" spans="1:12" ht="29" x14ac:dyDescent="0.35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  <c r="I8" s="5" t="s">
        <v>18</v>
      </c>
      <c r="J8" s="5" t="s">
        <v>19</v>
      </c>
      <c r="K8" s="5" t="s">
        <v>20</v>
      </c>
    </row>
    <row r="9" spans="1:12" x14ac:dyDescent="0.35">
      <c r="A9" s="6" t="s">
        <v>513</v>
      </c>
      <c r="B9" s="6"/>
      <c r="C9" s="6" t="s">
        <v>395</v>
      </c>
      <c r="D9" s="7" t="s">
        <v>514</v>
      </c>
      <c r="E9" s="57">
        <v>228764.7</v>
      </c>
      <c r="F9" s="15" t="s">
        <v>739</v>
      </c>
      <c r="G9" s="15" t="s">
        <v>740</v>
      </c>
      <c r="H9" s="37">
        <v>2004</v>
      </c>
      <c r="I9" s="37">
        <v>2006</v>
      </c>
      <c r="J9" s="37">
        <v>2006</v>
      </c>
      <c r="K9" s="37">
        <v>2006</v>
      </c>
    </row>
    <row r="10" spans="1:12" x14ac:dyDescent="0.35">
      <c r="D10" s="8">
        <f>10.764*21252.95</f>
        <v>228766.75380000001</v>
      </c>
      <c r="F10" s="23"/>
      <c r="G10" s="23"/>
      <c r="J10" s="92"/>
      <c r="K10" s="92"/>
    </row>
    <row r="13" spans="1:12" x14ac:dyDescent="0.35">
      <c r="A13" s="156" t="s">
        <v>93</v>
      </c>
      <c r="B13" s="156"/>
      <c r="C13" s="156"/>
      <c r="D13" s="156"/>
      <c r="E13" s="156"/>
    </row>
    <row r="14" spans="1:12" x14ac:dyDescent="0.35">
      <c r="A14" s="5" t="s">
        <v>10</v>
      </c>
      <c r="B14" s="5" t="s">
        <v>21</v>
      </c>
      <c r="C14" s="5" t="s">
        <v>22</v>
      </c>
      <c r="D14" s="5" t="s">
        <v>23</v>
      </c>
      <c r="E14" s="5" t="s">
        <v>24</v>
      </c>
      <c r="G14" s="30" t="s">
        <v>177</v>
      </c>
    </row>
    <row r="15" spans="1:12" x14ac:dyDescent="0.35">
      <c r="A15" s="2" t="s">
        <v>513</v>
      </c>
      <c r="B15" s="2" t="s">
        <v>94</v>
      </c>
      <c r="C15" s="2" t="s">
        <v>279</v>
      </c>
      <c r="D15" s="1">
        <v>25111.23</v>
      </c>
      <c r="E15" s="3"/>
      <c r="F15" s="9"/>
      <c r="G15" s="2" t="s">
        <v>515</v>
      </c>
    </row>
    <row r="16" spans="1:12" x14ac:dyDescent="0.35">
      <c r="A16" s="2" t="s">
        <v>513</v>
      </c>
      <c r="B16" s="2" t="s">
        <v>94</v>
      </c>
      <c r="C16" s="2" t="s">
        <v>280</v>
      </c>
      <c r="D16" s="26">
        <v>26498.37</v>
      </c>
      <c r="E16" s="3"/>
      <c r="F16" s="9"/>
      <c r="G16" s="2" t="s">
        <v>516</v>
      </c>
    </row>
    <row r="17" spans="1:14" x14ac:dyDescent="0.35">
      <c r="A17" s="2" t="s">
        <v>513</v>
      </c>
      <c r="B17" s="2" t="s">
        <v>94</v>
      </c>
      <c r="C17" s="2" t="s">
        <v>281</v>
      </c>
      <c r="D17" s="1">
        <v>25111.23</v>
      </c>
      <c r="E17" s="3"/>
      <c r="F17" s="9"/>
      <c r="G17" s="2" t="s">
        <v>517</v>
      </c>
    </row>
    <row r="18" spans="1:14" x14ac:dyDescent="0.35">
      <c r="A18" s="2" t="s">
        <v>513</v>
      </c>
      <c r="B18" s="2" t="s">
        <v>94</v>
      </c>
      <c r="C18" s="2" t="s">
        <v>282</v>
      </c>
      <c r="D18" s="1">
        <v>25793.23</v>
      </c>
      <c r="E18" s="3"/>
      <c r="F18" s="9"/>
      <c r="G18" s="2" t="s">
        <v>518</v>
      </c>
    </row>
    <row r="19" spans="1:14" x14ac:dyDescent="0.35">
      <c r="A19" s="2" t="s">
        <v>513</v>
      </c>
      <c r="B19" s="2" t="s">
        <v>94</v>
      </c>
      <c r="C19" s="2" t="s">
        <v>287</v>
      </c>
      <c r="D19" s="26">
        <v>24455</v>
      </c>
      <c r="E19" s="3"/>
      <c r="F19" s="9"/>
      <c r="G19" s="2" t="s">
        <v>519</v>
      </c>
    </row>
    <row r="20" spans="1:14" x14ac:dyDescent="0.35">
      <c r="A20" s="2" t="s">
        <v>513</v>
      </c>
      <c r="B20" s="2" t="s">
        <v>94</v>
      </c>
      <c r="C20" s="2" t="s">
        <v>288</v>
      </c>
      <c r="D20" s="1">
        <v>23919.34</v>
      </c>
      <c r="E20" s="3"/>
      <c r="F20" s="9"/>
      <c r="G20" s="3" t="s">
        <v>520</v>
      </c>
    </row>
    <row r="21" spans="1:14" x14ac:dyDescent="0.35">
      <c r="A21" s="2" t="s">
        <v>513</v>
      </c>
      <c r="B21" s="2" t="s">
        <v>94</v>
      </c>
      <c r="C21" s="2" t="s">
        <v>289</v>
      </c>
      <c r="D21" s="1">
        <v>21538</v>
      </c>
      <c r="E21" s="3"/>
      <c r="F21" s="9"/>
      <c r="G21" s="3" t="s">
        <v>521</v>
      </c>
    </row>
    <row r="22" spans="1:14" x14ac:dyDescent="0.35">
      <c r="A22" s="2" t="s">
        <v>513</v>
      </c>
      <c r="B22" s="2" t="s">
        <v>94</v>
      </c>
      <c r="C22" s="2" t="s">
        <v>522</v>
      </c>
      <c r="D22" s="1">
        <v>28169.15</v>
      </c>
      <c r="E22" s="3"/>
      <c r="F22" s="9"/>
      <c r="G22" s="3" t="s">
        <v>523</v>
      </c>
    </row>
    <row r="23" spans="1:14" x14ac:dyDescent="0.35">
      <c r="A23" s="2" t="s">
        <v>513</v>
      </c>
      <c r="B23" s="2" t="s">
        <v>94</v>
      </c>
      <c r="C23" s="2" t="s">
        <v>524</v>
      </c>
      <c r="D23" s="1">
        <v>28169.15</v>
      </c>
      <c r="E23" s="3"/>
      <c r="F23" s="9"/>
      <c r="G23" s="3" t="s">
        <v>523</v>
      </c>
    </row>
    <row r="24" spans="1:14" x14ac:dyDescent="0.35">
      <c r="A24" s="156" t="s">
        <v>103</v>
      </c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</row>
    <row r="25" spans="1:14" ht="15" customHeight="1" x14ac:dyDescent="0.35">
      <c r="A25" s="5" t="s">
        <v>72</v>
      </c>
      <c r="B25" s="5" t="s">
        <v>73</v>
      </c>
      <c r="C25" s="5" t="s">
        <v>169</v>
      </c>
      <c r="D25" s="5" t="s">
        <v>167</v>
      </c>
      <c r="E25" s="5" t="s">
        <v>168</v>
      </c>
      <c r="F25" s="5" t="s">
        <v>74</v>
      </c>
      <c r="G25" s="5" t="s">
        <v>75</v>
      </c>
      <c r="H25" s="5" t="s">
        <v>126</v>
      </c>
      <c r="I25" s="5" t="s">
        <v>125</v>
      </c>
      <c r="J25" s="5" t="s">
        <v>122</v>
      </c>
      <c r="K25" s="5" t="s">
        <v>123</v>
      </c>
      <c r="L25" s="5" t="s">
        <v>124</v>
      </c>
      <c r="M25" s="5" t="s">
        <v>76</v>
      </c>
      <c r="N25" s="5" t="s">
        <v>77</v>
      </c>
    </row>
    <row r="26" spans="1:14" x14ac:dyDescent="0.35">
      <c r="A26" s="6" t="s">
        <v>525</v>
      </c>
      <c r="B26" s="13">
        <v>2</v>
      </c>
      <c r="C26" s="182">
        <v>165</v>
      </c>
      <c r="D26" s="182">
        <v>57</v>
      </c>
      <c r="E26" s="184">
        <v>51</v>
      </c>
      <c r="F26" s="6" t="s">
        <v>409</v>
      </c>
      <c r="G26" s="14" t="s">
        <v>127</v>
      </c>
      <c r="H26" s="6">
        <v>3600</v>
      </c>
      <c r="I26" s="6">
        <v>3600</v>
      </c>
      <c r="J26" s="6">
        <v>3600</v>
      </c>
      <c r="K26" s="6">
        <v>700</v>
      </c>
      <c r="L26" s="6">
        <v>3240</v>
      </c>
      <c r="M26" s="41" t="s">
        <v>296</v>
      </c>
      <c r="N26" s="41">
        <v>150</v>
      </c>
    </row>
    <row r="27" spans="1:14" x14ac:dyDescent="0.35">
      <c r="A27" s="6" t="s">
        <v>525</v>
      </c>
      <c r="B27" s="13">
        <v>2</v>
      </c>
      <c r="C27" s="183"/>
      <c r="D27" s="183"/>
      <c r="E27" s="185"/>
      <c r="F27" s="6" t="s">
        <v>409</v>
      </c>
      <c r="G27" s="14" t="s">
        <v>127</v>
      </c>
      <c r="H27" s="6">
        <v>400</v>
      </c>
      <c r="I27" s="6">
        <v>400</v>
      </c>
      <c r="J27" s="6">
        <v>400</v>
      </c>
      <c r="K27" s="6">
        <v>416</v>
      </c>
      <c r="L27" s="6">
        <v>360</v>
      </c>
      <c r="M27" s="27"/>
      <c r="N27" s="27"/>
    </row>
    <row r="28" spans="1:14" x14ac:dyDescent="0.35">
      <c r="H28" s="8">
        <f>SUM(H26:H27)</f>
        <v>4000</v>
      </c>
      <c r="I28" s="8">
        <f>SUM(I26:I27)</f>
        <v>4000</v>
      </c>
      <c r="J28" s="8">
        <f>SUM(J26:J27)</f>
        <v>4000</v>
      </c>
      <c r="K28" s="8">
        <f>SUM(K26:K27)</f>
        <v>1116</v>
      </c>
      <c r="L28" s="8">
        <f>SUM(L26:L27)</f>
        <v>3600</v>
      </c>
    </row>
    <row r="29" spans="1:14" x14ac:dyDescent="0.35">
      <c r="A29" s="156" t="s">
        <v>104</v>
      </c>
      <c r="B29" s="156"/>
    </row>
    <row r="30" spans="1:14" x14ac:dyDescent="0.35">
      <c r="A30" s="5" t="s">
        <v>78</v>
      </c>
      <c r="B30" s="5" t="s">
        <v>79</v>
      </c>
    </row>
    <row r="31" spans="1:14" x14ac:dyDescent="0.35">
      <c r="A31" s="2" t="s">
        <v>171</v>
      </c>
      <c r="B31" s="13" t="s">
        <v>187</v>
      </c>
    </row>
    <row r="32" spans="1:14" x14ac:dyDescent="0.35">
      <c r="A32" s="2" t="s">
        <v>526</v>
      </c>
      <c r="B32" s="13">
        <f>150*6</f>
        <v>900</v>
      </c>
    </row>
    <row r="35" spans="1:6" x14ac:dyDescent="0.35">
      <c r="A35" s="156" t="s">
        <v>527</v>
      </c>
      <c r="B35" s="156"/>
    </row>
    <row r="36" spans="1:6" x14ac:dyDescent="0.35">
      <c r="A36" s="5" t="s">
        <v>80</v>
      </c>
      <c r="B36" s="5" t="s">
        <v>81</v>
      </c>
    </row>
    <row r="37" spans="1:6" x14ac:dyDescent="0.35">
      <c r="A37" s="2" t="s">
        <v>128</v>
      </c>
      <c r="B37" s="13" t="s">
        <v>187</v>
      </c>
    </row>
    <row r="38" spans="1:6" x14ac:dyDescent="0.35">
      <c r="A38" s="2" t="s">
        <v>129</v>
      </c>
      <c r="B38" s="13">
        <v>60</v>
      </c>
    </row>
    <row r="39" spans="1:6" x14ac:dyDescent="0.35">
      <c r="A39" s="6" t="s">
        <v>106</v>
      </c>
      <c r="B39" s="13">
        <v>50</v>
      </c>
    </row>
    <row r="41" spans="1:6" x14ac:dyDescent="0.35">
      <c r="A41" s="156" t="s">
        <v>105</v>
      </c>
      <c r="B41" s="156"/>
      <c r="C41" s="156"/>
      <c r="D41" s="156"/>
    </row>
    <row r="42" spans="1:6" s="23" customFormat="1" x14ac:dyDescent="0.35">
      <c r="A42" s="10" t="s">
        <v>82</v>
      </c>
      <c r="B42" s="10" t="s">
        <v>83</v>
      </c>
      <c r="C42" s="10" t="s">
        <v>84</v>
      </c>
      <c r="D42" s="10" t="s">
        <v>85</v>
      </c>
      <c r="F42" s="8"/>
    </row>
    <row r="43" spans="1:6" x14ac:dyDescent="0.35">
      <c r="A43" s="6" t="s">
        <v>130</v>
      </c>
      <c r="B43" s="6" t="s">
        <v>524</v>
      </c>
      <c r="C43" s="13">
        <v>200</v>
      </c>
      <c r="D43" s="22">
        <f>C43*35.3146</f>
        <v>7062.92</v>
      </c>
    </row>
    <row r="44" spans="1:6" x14ac:dyDescent="0.35">
      <c r="A44" s="6" t="s">
        <v>133</v>
      </c>
      <c r="B44" s="6" t="s">
        <v>524</v>
      </c>
      <c r="C44" s="13">
        <v>75</v>
      </c>
      <c r="D44" s="22">
        <f t="shared" ref="D44:D56" si="0">C44*35.3146</f>
        <v>2648.5949999999998</v>
      </c>
    </row>
    <row r="45" spans="1:6" x14ac:dyDescent="0.35">
      <c r="A45" s="2" t="s">
        <v>134</v>
      </c>
      <c r="B45" s="6" t="s">
        <v>524</v>
      </c>
      <c r="C45" s="13">
        <v>75</v>
      </c>
      <c r="D45" s="22">
        <f t="shared" si="0"/>
        <v>2648.5949999999998</v>
      </c>
    </row>
    <row r="46" spans="1:6" x14ac:dyDescent="0.35">
      <c r="A46" s="6" t="s">
        <v>130</v>
      </c>
      <c r="B46" s="6" t="s">
        <v>135</v>
      </c>
      <c r="C46" s="13">
        <v>40</v>
      </c>
      <c r="D46" s="22">
        <f t="shared" si="0"/>
        <v>1412.5839999999998</v>
      </c>
    </row>
    <row r="47" spans="1:6" x14ac:dyDescent="0.35">
      <c r="A47" s="2" t="s">
        <v>157</v>
      </c>
      <c r="B47" s="6" t="s">
        <v>135</v>
      </c>
      <c r="C47" s="13">
        <v>20</v>
      </c>
      <c r="D47" s="22">
        <f t="shared" si="0"/>
        <v>706.29199999999992</v>
      </c>
    </row>
    <row r="48" spans="1:6" x14ac:dyDescent="0.35">
      <c r="A48" s="2" t="s">
        <v>528</v>
      </c>
      <c r="B48" s="6" t="s">
        <v>135</v>
      </c>
      <c r="C48" s="13">
        <v>10</v>
      </c>
      <c r="D48" s="22">
        <f t="shared" si="0"/>
        <v>353.14599999999996</v>
      </c>
    </row>
    <row r="49" spans="1:4" ht="29" x14ac:dyDescent="0.35">
      <c r="A49" s="2" t="s">
        <v>529</v>
      </c>
      <c r="B49" s="6" t="s">
        <v>524</v>
      </c>
      <c r="C49" s="13">
        <v>52</v>
      </c>
      <c r="D49" s="22">
        <f t="shared" si="0"/>
        <v>1836.3591999999999</v>
      </c>
    </row>
    <row r="50" spans="1:4" ht="29" x14ac:dyDescent="0.35">
      <c r="A50" s="2" t="s">
        <v>529</v>
      </c>
      <c r="B50" s="6" t="s">
        <v>524</v>
      </c>
      <c r="C50" s="13">
        <v>64</v>
      </c>
      <c r="D50" s="22">
        <f t="shared" si="0"/>
        <v>2260.1343999999999</v>
      </c>
    </row>
    <row r="51" spans="1:4" x14ac:dyDescent="0.35">
      <c r="A51" s="2" t="s">
        <v>530</v>
      </c>
      <c r="B51" s="6" t="s">
        <v>524</v>
      </c>
      <c r="C51" s="13">
        <v>164</v>
      </c>
      <c r="D51" s="22">
        <f t="shared" si="0"/>
        <v>5791.5944</v>
      </c>
    </row>
    <row r="52" spans="1:4" x14ac:dyDescent="0.35">
      <c r="A52" s="2" t="s">
        <v>531</v>
      </c>
      <c r="B52" s="6" t="s">
        <v>524</v>
      </c>
      <c r="C52" s="13">
        <v>19</v>
      </c>
      <c r="D52" s="22">
        <f t="shared" si="0"/>
        <v>670.97739999999999</v>
      </c>
    </row>
    <row r="53" spans="1:4" x14ac:dyDescent="0.35">
      <c r="A53" s="2" t="s">
        <v>532</v>
      </c>
      <c r="B53" s="6" t="s">
        <v>524</v>
      </c>
      <c r="C53" s="13">
        <v>43.5</v>
      </c>
      <c r="D53" s="22">
        <f t="shared" si="0"/>
        <v>1536.1850999999999</v>
      </c>
    </row>
    <row r="54" spans="1:4" x14ac:dyDescent="0.35">
      <c r="A54" s="2" t="s">
        <v>316</v>
      </c>
      <c r="B54" s="6" t="s">
        <v>524</v>
      </c>
      <c r="C54" s="13">
        <v>105</v>
      </c>
      <c r="D54" s="22">
        <f t="shared" si="0"/>
        <v>3708.0329999999999</v>
      </c>
    </row>
    <row r="55" spans="1:4" x14ac:dyDescent="0.35">
      <c r="A55" s="2" t="s">
        <v>318</v>
      </c>
      <c r="B55" s="6" t="s">
        <v>524</v>
      </c>
      <c r="C55" s="13">
        <v>100</v>
      </c>
      <c r="D55" s="22">
        <f t="shared" si="0"/>
        <v>3531.46</v>
      </c>
    </row>
    <row r="56" spans="1:4" x14ac:dyDescent="0.35">
      <c r="A56" s="2" t="s">
        <v>533</v>
      </c>
      <c r="B56" s="6" t="s">
        <v>524</v>
      </c>
      <c r="C56" s="13">
        <v>0.5</v>
      </c>
      <c r="D56" s="22">
        <f t="shared" si="0"/>
        <v>17.657299999999999</v>
      </c>
    </row>
    <row r="57" spans="1:4" x14ac:dyDescent="0.35">
      <c r="A57" s="2"/>
      <c r="B57" s="6"/>
      <c r="C57" s="13"/>
      <c r="D57" s="22"/>
    </row>
    <row r="58" spans="1:4" x14ac:dyDescent="0.35">
      <c r="A58" s="2"/>
      <c r="B58" s="6"/>
      <c r="C58" s="13"/>
      <c r="D58" s="22"/>
    </row>
    <row r="59" spans="1:4" x14ac:dyDescent="0.35">
      <c r="A59" s="2"/>
      <c r="B59" s="6"/>
      <c r="C59" s="13"/>
      <c r="D59" s="22"/>
    </row>
    <row r="60" spans="1:4" x14ac:dyDescent="0.35">
      <c r="A60" s="2"/>
      <c r="B60" s="6"/>
      <c r="C60" s="13"/>
      <c r="D60" s="22"/>
    </row>
    <row r="61" spans="1:4" x14ac:dyDescent="0.35">
      <c r="A61" s="2"/>
      <c r="B61" s="6"/>
      <c r="C61" s="13"/>
      <c r="D61" s="22"/>
    </row>
    <row r="62" spans="1:4" x14ac:dyDescent="0.35">
      <c r="A62" s="2"/>
      <c r="B62" s="6"/>
      <c r="C62" s="13"/>
      <c r="D62" s="22"/>
    </row>
    <row r="63" spans="1:4" x14ac:dyDescent="0.35">
      <c r="A63" s="2"/>
      <c r="B63" s="6"/>
      <c r="C63" s="13"/>
      <c r="D63" s="22"/>
    </row>
    <row r="65" spans="1:10" x14ac:dyDescent="0.35">
      <c r="A65" s="163" t="s">
        <v>92</v>
      </c>
      <c r="B65" s="164"/>
      <c r="C65" s="164"/>
      <c r="D65" s="165"/>
      <c r="E65" s="10"/>
      <c r="F65" s="10"/>
      <c r="G65" s="10"/>
      <c r="H65" s="10"/>
      <c r="I65" s="10"/>
      <c r="J65" s="10"/>
    </row>
    <row r="66" spans="1:10" s="23" customFormat="1" x14ac:dyDescent="0.35">
      <c r="A66" s="10" t="s">
        <v>22</v>
      </c>
      <c r="B66" s="10" t="s">
        <v>30</v>
      </c>
      <c r="C66" s="10" t="s">
        <v>31</v>
      </c>
      <c r="D66" s="10" t="s">
        <v>32</v>
      </c>
      <c r="E66" s="10" t="s">
        <v>33</v>
      </c>
      <c r="F66" s="10" t="s">
        <v>34</v>
      </c>
      <c r="G66" s="10" t="s">
        <v>35</v>
      </c>
      <c r="H66" s="10" t="s">
        <v>36</v>
      </c>
      <c r="I66" s="10" t="s">
        <v>37</v>
      </c>
      <c r="J66" s="10" t="s">
        <v>38</v>
      </c>
    </row>
    <row r="67" spans="1:10" x14ac:dyDescent="0.35">
      <c r="A67" s="2" t="s">
        <v>534</v>
      </c>
      <c r="B67" s="28" t="s">
        <v>187</v>
      </c>
      <c r="C67" s="28">
        <v>84</v>
      </c>
      <c r="D67" s="28">
        <v>0</v>
      </c>
      <c r="E67" s="28">
        <v>0</v>
      </c>
      <c r="F67" s="28">
        <v>84</v>
      </c>
      <c r="G67" s="28">
        <v>0</v>
      </c>
      <c r="H67" s="28">
        <v>0</v>
      </c>
      <c r="I67" s="28">
        <v>0</v>
      </c>
      <c r="J67" s="28">
        <v>1</v>
      </c>
    </row>
    <row r="68" spans="1:10" x14ac:dyDescent="0.35">
      <c r="A68" s="2" t="s">
        <v>535</v>
      </c>
      <c r="B68" s="28" t="s">
        <v>187</v>
      </c>
      <c r="C68" s="28">
        <v>98</v>
      </c>
      <c r="D68" s="28">
        <v>0</v>
      </c>
      <c r="E68" s="28">
        <v>0</v>
      </c>
      <c r="F68" s="28">
        <v>98</v>
      </c>
      <c r="G68" s="28">
        <v>0</v>
      </c>
      <c r="H68" s="28">
        <v>0</v>
      </c>
      <c r="I68" s="28">
        <v>0</v>
      </c>
      <c r="J68" s="28">
        <v>15</v>
      </c>
    </row>
    <row r="69" spans="1:10" x14ac:dyDescent="0.35">
      <c r="A69" s="6" t="s">
        <v>284</v>
      </c>
      <c r="B69" s="28" t="s">
        <v>187</v>
      </c>
      <c r="C69" s="28">
        <v>0</v>
      </c>
      <c r="D69" s="28">
        <v>0</v>
      </c>
      <c r="E69" s="28">
        <v>12</v>
      </c>
      <c r="F69" s="28">
        <v>0</v>
      </c>
      <c r="G69" s="28">
        <v>0</v>
      </c>
      <c r="H69" s="28">
        <v>0</v>
      </c>
      <c r="I69" s="28">
        <v>0</v>
      </c>
      <c r="J69" s="28">
        <v>0</v>
      </c>
    </row>
    <row r="70" spans="1:10" x14ac:dyDescent="0.35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x14ac:dyDescent="0.35">
      <c r="A71" s="163" t="s">
        <v>109</v>
      </c>
      <c r="B71" s="164"/>
      <c r="C71" s="164"/>
      <c r="D71" s="165"/>
      <c r="E71" s="10"/>
      <c r="F71" s="10"/>
      <c r="G71" s="10"/>
      <c r="H71" s="10"/>
      <c r="I71" s="10"/>
      <c r="J71" s="10"/>
    </row>
    <row r="72" spans="1:10" s="23" customFormat="1" x14ac:dyDescent="0.35">
      <c r="A72" s="10" t="s">
        <v>22</v>
      </c>
      <c r="B72" s="10" t="s">
        <v>30</v>
      </c>
      <c r="C72" s="10" t="s">
        <v>31</v>
      </c>
      <c r="D72" s="10" t="s">
        <v>32</v>
      </c>
      <c r="E72" s="10" t="s">
        <v>33</v>
      </c>
      <c r="F72" s="10" t="s">
        <v>34</v>
      </c>
      <c r="G72" s="10" t="s">
        <v>35</v>
      </c>
      <c r="H72" s="10" t="s">
        <v>36</v>
      </c>
      <c r="I72" s="10" t="s">
        <v>37</v>
      </c>
      <c r="J72" s="10" t="s">
        <v>38</v>
      </c>
    </row>
    <row r="73" spans="1:10" x14ac:dyDescent="0.35">
      <c r="A73" s="17">
        <v>0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</row>
    <row r="74" spans="1:10" x14ac:dyDescent="0.35">
      <c r="A74" s="13">
        <v>0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</row>
    <row r="75" spans="1:10" x14ac:dyDescent="0.35">
      <c r="B75" s="6"/>
      <c r="C75" s="6"/>
      <c r="D75" s="6"/>
      <c r="E75" s="6"/>
      <c r="F75" s="6"/>
      <c r="G75" s="6"/>
      <c r="H75" s="6"/>
      <c r="I75" s="6"/>
      <c r="J75" s="6"/>
    </row>
    <row r="76" spans="1:10" s="23" customFormat="1" x14ac:dyDescent="0.35">
      <c r="B76" s="12" t="s">
        <v>25</v>
      </c>
      <c r="C76" s="10" t="s">
        <v>26</v>
      </c>
      <c r="D76" s="12" t="s">
        <v>27</v>
      </c>
      <c r="E76" s="10" t="s">
        <v>26</v>
      </c>
      <c r="F76" s="12" t="s">
        <v>28</v>
      </c>
      <c r="G76" s="10" t="s">
        <v>26</v>
      </c>
      <c r="H76" s="12" t="s">
        <v>29</v>
      </c>
      <c r="I76" s="10" t="s">
        <v>138</v>
      </c>
      <c r="J76" s="10" t="s">
        <v>26</v>
      </c>
    </row>
    <row r="77" spans="1:10" x14ac:dyDescent="0.35">
      <c r="A77" s="6" t="s">
        <v>513</v>
      </c>
      <c r="B77" s="6" t="s">
        <v>136</v>
      </c>
      <c r="C77" s="13">
        <v>3</v>
      </c>
      <c r="D77" s="6" t="s">
        <v>95</v>
      </c>
      <c r="E77" s="13">
        <v>2</v>
      </c>
      <c r="F77" s="2" t="s">
        <v>97</v>
      </c>
      <c r="G77" s="13">
        <v>1</v>
      </c>
      <c r="H77" s="7" t="s">
        <v>534</v>
      </c>
      <c r="I77" s="24">
        <v>28169.15</v>
      </c>
      <c r="J77" s="15">
        <v>1</v>
      </c>
    </row>
    <row r="78" spans="1:10" x14ac:dyDescent="0.35">
      <c r="A78" s="6"/>
      <c r="B78" s="6"/>
      <c r="C78" s="6"/>
      <c r="D78" s="6" t="s">
        <v>161</v>
      </c>
      <c r="E78" s="13">
        <v>3</v>
      </c>
      <c r="F78" s="2" t="s">
        <v>98</v>
      </c>
      <c r="G78" s="13">
        <v>1</v>
      </c>
      <c r="H78" s="7" t="s">
        <v>535</v>
      </c>
      <c r="I78" s="24">
        <v>28169.15</v>
      </c>
      <c r="J78" s="15">
        <v>1</v>
      </c>
    </row>
    <row r="79" spans="1:10" x14ac:dyDescent="0.35">
      <c r="A79" s="6"/>
      <c r="B79" s="6"/>
      <c r="C79" s="6"/>
      <c r="D79" s="2" t="s">
        <v>96</v>
      </c>
      <c r="E79" s="13">
        <v>2</v>
      </c>
      <c r="F79" s="2" t="s">
        <v>137</v>
      </c>
      <c r="G79" s="13" t="s">
        <v>187</v>
      </c>
      <c r="H79" s="7"/>
      <c r="I79" s="15"/>
      <c r="J79" s="15"/>
    </row>
    <row r="80" spans="1:10" x14ac:dyDescent="0.35">
      <c r="D80" s="2" t="s">
        <v>163</v>
      </c>
      <c r="E80" s="13">
        <v>24</v>
      </c>
      <c r="F80" s="2" t="s">
        <v>165</v>
      </c>
      <c r="G80" s="13" t="s">
        <v>187</v>
      </c>
      <c r="I80" s="23"/>
      <c r="J80" s="23"/>
    </row>
    <row r="81" spans="1:11" x14ac:dyDescent="0.35">
      <c r="D81" s="2" t="s">
        <v>164</v>
      </c>
      <c r="E81" s="13" t="s">
        <v>187</v>
      </c>
      <c r="F81" s="16" t="s">
        <v>166</v>
      </c>
      <c r="G81" s="15" t="s">
        <v>187</v>
      </c>
      <c r="I81" s="23"/>
      <c r="J81" s="23"/>
    </row>
    <row r="82" spans="1:11" x14ac:dyDescent="0.35">
      <c r="D82" s="2" t="s">
        <v>162</v>
      </c>
      <c r="E82" s="13">
        <v>3</v>
      </c>
      <c r="F82" s="29"/>
      <c r="G82" s="23"/>
      <c r="I82" s="23"/>
      <c r="J82" s="23"/>
    </row>
    <row r="83" spans="1:11" x14ac:dyDescent="0.35">
      <c r="D83" s="2" t="s">
        <v>170</v>
      </c>
      <c r="E83" s="13">
        <v>1</v>
      </c>
    </row>
    <row r="85" spans="1:11" x14ac:dyDescent="0.35">
      <c r="A85" s="166" t="s">
        <v>101</v>
      </c>
      <c r="B85" s="167"/>
      <c r="C85" s="167"/>
      <c r="D85" s="167"/>
      <c r="E85" s="167"/>
      <c r="F85" s="168"/>
    </row>
    <row r="86" spans="1:11" x14ac:dyDescent="0.35">
      <c r="A86" s="5" t="s">
        <v>10</v>
      </c>
      <c r="B86" s="5" t="s">
        <v>22</v>
      </c>
      <c r="C86" s="5" t="s">
        <v>24</v>
      </c>
      <c r="D86" s="5" t="s">
        <v>536</v>
      </c>
      <c r="E86" s="5" t="s">
        <v>62</v>
      </c>
      <c r="F86" s="5" t="s">
        <v>63</v>
      </c>
    </row>
    <row r="87" spans="1:11" x14ac:dyDescent="0.35">
      <c r="A87" s="2" t="s">
        <v>513</v>
      </c>
      <c r="B87" s="2" t="s">
        <v>279</v>
      </c>
      <c r="C87" s="1"/>
      <c r="D87" s="47">
        <v>25111.23</v>
      </c>
      <c r="E87" s="47"/>
      <c r="F87" s="58"/>
    </row>
    <row r="88" spans="1:11" x14ac:dyDescent="0.35">
      <c r="A88" s="2" t="s">
        <v>513</v>
      </c>
      <c r="B88" s="2" t="s">
        <v>280</v>
      </c>
      <c r="C88" s="26"/>
      <c r="D88" s="58">
        <v>26498.37</v>
      </c>
      <c r="E88" s="58"/>
      <c r="F88" s="58"/>
      <c r="H88" s="180"/>
      <c r="I88" s="180"/>
      <c r="J88" s="180"/>
      <c r="K88" s="180"/>
    </row>
    <row r="89" spans="1:11" x14ac:dyDescent="0.35">
      <c r="A89" s="2" t="s">
        <v>513</v>
      </c>
      <c r="B89" s="2" t="s">
        <v>281</v>
      </c>
      <c r="C89" s="1"/>
      <c r="D89" s="47">
        <v>25111.23</v>
      </c>
      <c r="E89" s="47"/>
      <c r="F89" s="58"/>
      <c r="H89" s="42"/>
      <c r="I89" s="42"/>
      <c r="J89" s="178"/>
      <c r="K89" s="179"/>
    </row>
    <row r="90" spans="1:11" ht="15" customHeight="1" x14ac:dyDescent="0.35">
      <c r="A90" s="2" t="s">
        <v>513</v>
      </c>
      <c r="B90" s="2" t="s">
        <v>282</v>
      </c>
      <c r="C90" s="1"/>
      <c r="D90" s="47">
        <v>25793.23</v>
      </c>
      <c r="E90" s="47"/>
      <c r="F90" s="58"/>
      <c r="H90" s="180"/>
      <c r="I90" s="180"/>
      <c r="J90" s="178"/>
      <c r="K90" s="179"/>
    </row>
    <row r="91" spans="1:11" x14ac:dyDescent="0.35">
      <c r="A91" s="2" t="s">
        <v>513</v>
      </c>
      <c r="B91" s="2" t="s">
        <v>287</v>
      </c>
      <c r="C91" s="26"/>
      <c r="D91" s="58">
        <v>24455</v>
      </c>
      <c r="E91" s="58"/>
      <c r="F91" s="58"/>
      <c r="H91" s="42"/>
      <c r="I91" s="42"/>
      <c r="J91" s="43"/>
      <c r="K91" s="43"/>
    </row>
    <row r="92" spans="1:11" x14ac:dyDescent="0.35">
      <c r="A92" s="2" t="s">
        <v>513</v>
      </c>
      <c r="B92" s="2" t="s">
        <v>288</v>
      </c>
      <c r="C92" s="1"/>
      <c r="D92" s="47">
        <v>23919.34</v>
      </c>
      <c r="E92" s="47"/>
      <c r="F92" s="58"/>
      <c r="G92" s="9"/>
      <c r="H92" s="44"/>
      <c r="I92" s="44"/>
      <c r="J92" s="45"/>
      <c r="K92" s="45"/>
    </row>
    <row r="93" spans="1:11" x14ac:dyDescent="0.35">
      <c r="A93" s="2" t="s">
        <v>513</v>
      </c>
      <c r="B93" s="2" t="s">
        <v>289</v>
      </c>
      <c r="C93" s="1"/>
      <c r="D93" s="47">
        <v>21538</v>
      </c>
      <c r="E93" s="47"/>
      <c r="F93" s="58"/>
      <c r="G93" s="9"/>
      <c r="H93" s="44"/>
      <c r="I93" s="44"/>
      <c r="J93" s="45"/>
      <c r="K93" s="45"/>
    </row>
    <row r="94" spans="1:11" x14ac:dyDescent="0.35">
      <c r="A94" s="2" t="s">
        <v>513</v>
      </c>
      <c r="B94" s="2" t="s">
        <v>534</v>
      </c>
      <c r="C94" s="1"/>
      <c r="D94" s="47">
        <v>28169.15</v>
      </c>
      <c r="E94" s="47"/>
      <c r="F94" s="58"/>
      <c r="G94" s="9"/>
      <c r="H94" s="44"/>
      <c r="I94" s="44"/>
      <c r="J94" s="45"/>
      <c r="K94" s="45"/>
    </row>
    <row r="95" spans="1:11" x14ac:dyDescent="0.35">
      <c r="A95" s="2" t="s">
        <v>513</v>
      </c>
      <c r="B95" s="2" t="s">
        <v>535</v>
      </c>
      <c r="C95" s="1"/>
      <c r="D95" s="47">
        <v>28169.15</v>
      </c>
      <c r="E95" s="47"/>
      <c r="F95" s="58"/>
      <c r="G95" s="9"/>
      <c r="H95" s="44"/>
      <c r="I95" s="44"/>
      <c r="J95" s="45"/>
      <c r="K95" s="45"/>
    </row>
    <row r="96" spans="1:11" x14ac:dyDescent="0.35">
      <c r="A96" s="2"/>
      <c r="B96" s="2"/>
      <c r="C96" s="1"/>
      <c r="D96" s="47"/>
      <c r="E96" s="58"/>
      <c r="F96" s="58"/>
      <c r="G96" s="9"/>
      <c r="H96" s="44"/>
      <c r="I96" s="44"/>
      <c r="J96" s="45"/>
      <c r="K96" s="45"/>
    </row>
    <row r="97" spans="1:14" x14ac:dyDescent="0.35">
      <c r="A97" s="2"/>
      <c r="B97" s="2"/>
      <c r="C97" s="1"/>
      <c r="D97" s="47"/>
      <c r="E97" s="58"/>
      <c r="F97" s="58"/>
      <c r="G97" s="9"/>
      <c r="H97" s="44"/>
      <c r="I97" s="44"/>
      <c r="J97" s="45"/>
      <c r="K97" s="45"/>
    </row>
    <row r="99" spans="1:14" x14ac:dyDescent="0.35">
      <c r="A99" s="155" t="s">
        <v>108</v>
      </c>
      <c r="B99" s="155"/>
      <c r="C99" s="155"/>
      <c r="D99" s="155"/>
      <c r="E99" s="155"/>
      <c r="F99" s="155"/>
    </row>
    <row r="101" spans="1:14" x14ac:dyDescent="0.35">
      <c r="A101" s="156" t="s">
        <v>100</v>
      </c>
      <c r="B101" s="156"/>
      <c r="C101" s="156"/>
      <c r="D101" s="156"/>
      <c r="E101" s="156"/>
      <c r="F101" s="156"/>
      <c r="G101" s="156"/>
      <c r="H101" s="156"/>
      <c r="I101" s="156"/>
      <c r="J101" s="156"/>
    </row>
    <row r="102" spans="1:14" x14ac:dyDescent="0.35">
      <c r="A102" s="5" t="s">
        <v>51</v>
      </c>
      <c r="B102" s="5" t="s">
        <v>52</v>
      </c>
      <c r="C102" s="5" t="s">
        <v>53</v>
      </c>
      <c r="D102" s="5" t="s">
        <v>54</v>
      </c>
      <c r="E102" s="5" t="s">
        <v>55</v>
      </c>
      <c r="F102" s="5" t="s">
        <v>56</v>
      </c>
      <c r="G102" s="5" t="s">
        <v>57</v>
      </c>
      <c r="H102" s="5" t="s">
        <v>58</v>
      </c>
      <c r="I102" s="5" t="s">
        <v>59</v>
      </c>
      <c r="J102" s="5" t="s">
        <v>60</v>
      </c>
    </row>
    <row r="103" spans="1:14" x14ac:dyDescent="0.35">
      <c r="A103" s="6" t="s">
        <v>323</v>
      </c>
      <c r="B103" s="6" t="s">
        <v>323</v>
      </c>
      <c r="C103" s="13" t="s">
        <v>187</v>
      </c>
      <c r="D103" s="13" t="s">
        <v>187</v>
      </c>
      <c r="E103" s="28">
        <v>900</v>
      </c>
      <c r="F103" s="28"/>
      <c r="G103" s="28">
        <f>E103+F103</f>
        <v>900</v>
      </c>
      <c r="H103" s="28">
        <v>109</v>
      </c>
      <c r="I103" s="28">
        <v>0</v>
      </c>
      <c r="J103" s="28"/>
    </row>
    <row r="104" spans="1:14" x14ac:dyDescent="0.35">
      <c r="A104" s="6" t="s">
        <v>537</v>
      </c>
      <c r="B104" s="6" t="s">
        <v>537</v>
      </c>
      <c r="C104" s="13" t="s">
        <v>187</v>
      </c>
      <c r="D104" s="13" t="s">
        <v>187</v>
      </c>
      <c r="E104" s="28">
        <v>200</v>
      </c>
      <c r="F104" s="28"/>
      <c r="G104" s="28">
        <f>E104+F104</f>
        <v>200</v>
      </c>
      <c r="H104" s="13">
        <v>38</v>
      </c>
      <c r="I104" s="28">
        <v>0</v>
      </c>
      <c r="J104" s="13"/>
      <c r="N104" s="42"/>
    </row>
    <row r="105" spans="1:14" x14ac:dyDescent="0.35">
      <c r="A105" s="6" t="s">
        <v>538</v>
      </c>
      <c r="B105" s="6" t="s">
        <v>538</v>
      </c>
      <c r="C105" s="13" t="s">
        <v>187</v>
      </c>
      <c r="D105" s="13" t="s">
        <v>187</v>
      </c>
      <c r="E105" s="28">
        <v>290</v>
      </c>
      <c r="F105" s="14"/>
      <c r="G105" s="28">
        <f>E105+F105</f>
        <v>290</v>
      </c>
      <c r="H105" s="13">
        <v>19</v>
      </c>
      <c r="I105" s="28">
        <v>0</v>
      </c>
      <c r="J105" s="6"/>
      <c r="N105" s="42"/>
    </row>
    <row r="106" spans="1:14" x14ac:dyDescent="0.35">
      <c r="A106" s="6" t="s">
        <v>539</v>
      </c>
      <c r="B106" s="6" t="s">
        <v>539</v>
      </c>
      <c r="C106" s="59" t="s">
        <v>187</v>
      </c>
      <c r="D106" s="13" t="s">
        <v>187</v>
      </c>
      <c r="E106" s="28">
        <v>10</v>
      </c>
      <c r="F106" s="14"/>
      <c r="G106" s="28">
        <f>E106+F106</f>
        <v>10</v>
      </c>
      <c r="H106" s="13">
        <v>1</v>
      </c>
      <c r="I106" s="28">
        <v>0</v>
      </c>
      <c r="J106" s="6"/>
      <c r="N106" s="42"/>
    </row>
    <row r="107" spans="1:14" x14ac:dyDescent="0.35">
      <c r="A107" s="6" t="s">
        <v>540</v>
      </c>
      <c r="B107" s="6" t="s">
        <v>540</v>
      </c>
      <c r="C107" s="59" t="s">
        <v>187</v>
      </c>
      <c r="D107" s="13" t="s">
        <v>187</v>
      </c>
      <c r="E107" s="28">
        <v>10</v>
      </c>
      <c r="F107" s="14"/>
      <c r="G107" s="28">
        <f>E107+F107</f>
        <v>10</v>
      </c>
      <c r="H107" s="13">
        <v>1</v>
      </c>
      <c r="I107" s="28">
        <v>0</v>
      </c>
      <c r="J107" s="6"/>
      <c r="N107" s="42"/>
    </row>
    <row r="108" spans="1:14" x14ac:dyDescent="0.35">
      <c r="A108" s="8" t="s">
        <v>541</v>
      </c>
      <c r="N108" s="42"/>
    </row>
    <row r="109" spans="1:14" x14ac:dyDescent="0.35">
      <c r="A109" s="156" t="s">
        <v>102</v>
      </c>
      <c r="B109" s="156"/>
      <c r="C109" s="156"/>
      <c r="D109" s="156"/>
      <c r="N109" s="42"/>
    </row>
    <row r="110" spans="1:14" x14ac:dyDescent="0.35">
      <c r="A110" s="5" t="s">
        <v>68</v>
      </c>
      <c r="B110" s="5" t="s">
        <v>69</v>
      </c>
      <c r="C110" s="5" t="s">
        <v>70</v>
      </c>
      <c r="D110" s="5" t="s">
        <v>71</v>
      </c>
      <c r="N110" s="42"/>
    </row>
    <row r="111" spans="1:14" x14ac:dyDescent="0.35">
      <c r="A111" s="6" t="s">
        <v>178</v>
      </c>
      <c r="B111" s="13"/>
      <c r="C111" s="6" t="s">
        <v>534</v>
      </c>
      <c r="D111" s="6" t="s">
        <v>380</v>
      </c>
      <c r="N111" s="42"/>
    </row>
    <row r="112" spans="1:14" x14ac:dyDescent="0.35">
      <c r="A112" s="6" t="s">
        <v>178</v>
      </c>
      <c r="B112" s="13"/>
      <c r="C112" s="6" t="s">
        <v>535</v>
      </c>
      <c r="D112" s="6" t="s">
        <v>380</v>
      </c>
      <c r="N112" s="42"/>
    </row>
    <row r="113" spans="1:14" x14ac:dyDescent="0.35">
      <c r="A113" s="6" t="s">
        <v>178</v>
      </c>
      <c r="B113" s="13"/>
      <c r="C113" s="6" t="s">
        <v>279</v>
      </c>
      <c r="D113" s="6" t="s">
        <v>380</v>
      </c>
      <c r="N113" s="42"/>
    </row>
    <row r="114" spans="1:14" x14ac:dyDescent="0.35">
      <c r="A114" s="6"/>
      <c r="B114" s="6"/>
      <c r="C114" s="6"/>
      <c r="D114" s="6"/>
      <c r="E114" s="6"/>
    </row>
    <row r="115" spans="1:14" x14ac:dyDescent="0.35">
      <c r="A115" s="5" t="s">
        <v>51</v>
      </c>
      <c r="B115" s="5" t="s">
        <v>64</v>
      </c>
      <c r="C115" s="5" t="s">
        <v>65</v>
      </c>
      <c r="D115" s="5" t="s">
        <v>66</v>
      </c>
      <c r="E115" s="5" t="s">
        <v>67</v>
      </c>
    </row>
    <row r="116" spans="1:14" x14ac:dyDescent="0.35">
      <c r="A116" s="14" t="s">
        <v>323</v>
      </c>
      <c r="B116" s="14" t="s">
        <v>542</v>
      </c>
      <c r="C116" s="56" t="s">
        <v>543</v>
      </c>
      <c r="D116" s="48">
        <v>9591840222</v>
      </c>
      <c r="E116" s="14" t="s">
        <v>544</v>
      </c>
    </row>
    <row r="117" spans="1:14" x14ac:dyDescent="0.35">
      <c r="A117" s="14" t="s">
        <v>323</v>
      </c>
      <c r="B117" s="14" t="s">
        <v>545</v>
      </c>
      <c r="C117" s="55" t="s">
        <v>343</v>
      </c>
      <c r="D117" s="14" t="s">
        <v>546</v>
      </c>
      <c r="E117" s="14" t="s">
        <v>547</v>
      </c>
    </row>
    <row r="118" spans="1:14" x14ac:dyDescent="0.35">
      <c r="A118" s="14" t="s">
        <v>537</v>
      </c>
      <c r="B118" s="14" t="s">
        <v>548</v>
      </c>
      <c r="C118" s="55" t="s">
        <v>549</v>
      </c>
      <c r="D118" s="48">
        <v>9008287561</v>
      </c>
      <c r="E118" s="14" t="s">
        <v>41</v>
      </c>
    </row>
    <row r="119" spans="1:14" x14ac:dyDescent="0.35">
      <c r="A119" s="14" t="s">
        <v>538</v>
      </c>
      <c r="B119" s="14" t="s">
        <v>550</v>
      </c>
      <c r="C119" s="55" t="s">
        <v>551</v>
      </c>
      <c r="D119" s="48">
        <v>9535816630</v>
      </c>
      <c r="E119" s="14" t="s">
        <v>552</v>
      </c>
    </row>
    <row r="120" spans="1:14" x14ac:dyDescent="0.35">
      <c r="A120" s="14" t="s">
        <v>539</v>
      </c>
      <c r="B120" s="14" t="s">
        <v>553</v>
      </c>
      <c r="C120" s="55" t="s">
        <v>554</v>
      </c>
      <c r="D120" s="48">
        <v>9449866543</v>
      </c>
      <c r="E120" s="14" t="s">
        <v>555</v>
      </c>
    </row>
    <row r="121" spans="1:14" ht="29" x14ac:dyDescent="0.35">
      <c r="A121" s="14" t="s">
        <v>540</v>
      </c>
      <c r="B121" s="14" t="s">
        <v>556</v>
      </c>
      <c r="C121" s="55" t="s">
        <v>557</v>
      </c>
      <c r="D121" s="48">
        <v>9956422838</v>
      </c>
      <c r="E121" s="14" t="s">
        <v>555</v>
      </c>
    </row>
    <row r="122" spans="1:14" x14ac:dyDescent="0.35">
      <c r="A122" s="157" t="s">
        <v>99</v>
      </c>
      <c r="B122" s="158"/>
      <c r="C122" s="158"/>
      <c r="D122" s="158"/>
      <c r="E122" s="158"/>
      <c r="F122" s="158"/>
      <c r="G122" s="158"/>
      <c r="H122" s="158"/>
      <c r="I122" s="158"/>
      <c r="J122" s="158"/>
      <c r="K122" s="158"/>
      <c r="L122" s="159"/>
    </row>
    <row r="123" spans="1:14" x14ac:dyDescent="0.35">
      <c r="A123" s="160"/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2"/>
    </row>
    <row r="124" spans="1:14" x14ac:dyDescent="0.35">
      <c r="A124" s="5" t="s">
        <v>39</v>
      </c>
      <c r="B124" s="5" t="s">
        <v>40</v>
      </c>
      <c r="C124" s="5" t="s">
        <v>41</v>
      </c>
      <c r="D124" s="5" t="s">
        <v>42</v>
      </c>
      <c r="E124" s="5" t="s">
        <v>43</v>
      </c>
      <c r="F124" s="5" t="s">
        <v>44</v>
      </c>
      <c r="G124" s="5" t="s">
        <v>45</v>
      </c>
      <c r="H124" s="5" t="s">
        <v>46</v>
      </c>
      <c r="I124" s="5" t="s">
        <v>47</v>
      </c>
      <c r="J124" s="5" t="s">
        <v>48</v>
      </c>
      <c r="K124" s="5" t="s">
        <v>49</v>
      </c>
      <c r="L124" s="5" t="s">
        <v>50</v>
      </c>
    </row>
    <row r="125" spans="1:14" x14ac:dyDescent="0.35">
      <c r="A125" s="6" t="s">
        <v>115</v>
      </c>
      <c r="B125" s="6" t="s">
        <v>344</v>
      </c>
      <c r="C125" s="6" t="s">
        <v>558</v>
      </c>
      <c r="D125" s="7"/>
      <c r="E125" s="7" t="s">
        <v>179</v>
      </c>
      <c r="F125" s="6" t="s">
        <v>226</v>
      </c>
      <c r="G125" s="6" t="s">
        <v>508</v>
      </c>
      <c r="H125" s="6" t="s">
        <v>509</v>
      </c>
      <c r="I125" s="6" t="s">
        <v>228</v>
      </c>
      <c r="J125" s="6"/>
      <c r="K125" s="7"/>
      <c r="L125" s="6" t="s">
        <v>139</v>
      </c>
    </row>
    <row r="126" spans="1:14" x14ac:dyDescent="0.35">
      <c r="A126" s="6"/>
      <c r="B126" s="6"/>
      <c r="C126" s="6"/>
      <c r="D126" s="7"/>
      <c r="E126" s="7" t="s">
        <v>180</v>
      </c>
      <c r="F126" s="6"/>
      <c r="G126" s="6"/>
      <c r="H126" s="6"/>
      <c r="I126" s="6"/>
      <c r="J126" s="6"/>
      <c r="K126" s="7"/>
      <c r="L126" s="6"/>
    </row>
    <row r="127" spans="1:14" x14ac:dyDescent="0.35">
      <c r="A127" s="6"/>
      <c r="B127" s="6"/>
      <c r="C127" s="6"/>
      <c r="D127" s="7"/>
      <c r="E127" s="7" t="s">
        <v>181</v>
      </c>
      <c r="F127" s="6"/>
      <c r="G127" s="6"/>
      <c r="H127" s="6"/>
      <c r="I127" s="6"/>
      <c r="J127" s="6"/>
      <c r="K127" s="7"/>
      <c r="L127" s="6"/>
    </row>
  </sheetData>
  <mergeCells count="20">
    <mergeCell ref="A109:D109"/>
    <mergeCell ref="A122:L123"/>
    <mergeCell ref="H88:K88"/>
    <mergeCell ref="J89:J90"/>
    <mergeCell ref="K89:K90"/>
    <mergeCell ref="H90:I90"/>
    <mergeCell ref="A99:F99"/>
    <mergeCell ref="A101:J101"/>
    <mergeCell ref="A85:F85"/>
    <mergeCell ref="A1:L2"/>
    <mergeCell ref="A13:E13"/>
    <mergeCell ref="A24:L24"/>
    <mergeCell ref="C26:C27"/>
    <mergeCell ref="D26:D27"/>
    <mergeCell ref="E26:E27"/>
    <mergeCell ref="A29:B29"/>
    <mergeCell ref="A35:B35"/>
    <mergeCell ref="A41:D41"/>
    <mergeCell ref="A65:D65"/>
    <mergeCell ref="A71:D71"/>
  </mergeCells>
  <hyperlinks>
    <hyperlink ref="C117" r:id="rId1" xr:uid="{00000000-0004-0000-0A00-000000000000}"/>
    <hyperlink ref="C116" r:id="rId2" xr:uid="{00000000-0004-0000-0A00-000001000000}"/>
    <hyperlink ref="C119" r:id="rId3" xr:uid="{00000000-0004-0000-0A00-000002000000}"/>
    <hyperlink ref="C118" r:id="rId4" xr:uid="{00000000-0004-0000-0A00-000003000000}"/>
    <hyperlink ref="C120" r:id="rId5" xr:uid="{00000000-0004-0000-0A00-000004000000}"/>
    <hyperlink ref="C121" r:id="rId6" xr:uid="{00000000-0004-0000-0A00-000005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36"/>
  <sheetViews>
    <sheetView topLeftCell="C1" workbookViewId="0">
      <selection activeCell="M11" sqref="M11:M12"/>
    </sheetView>
  </sheetViews>
  <sheetFormatPr defaultRowHeight="15" thickBottom="1" x14ac:dyDescent="0.4"/>
  <cols>
    <col min="2" max="2" width="20.81640625" customWidth="1"/>
    <col min="3" max="3" width="1.1796875" style="116" customWidth="1"/>
    <col min="4" max="4" width="19.453125" bestFit="1" customWidth="1"/>
    <col min="6" max="6" width="11" bestFit="1" customWidth="1"/>
    <col min="9" max="9" width="9.1796875" style="122"/>
    <col min="10" max="10" width="19.54296875" customWidth="1"/>
    <col min="11" max="11" width="14.26953125" bestFit="1" customWidth="1"/>
    <col min="12" max="12" width="12.7265625" bestFit="1" customWidth="1"/>
  </cols>
  <sheetData>
    <row r="1" spans="1:19" ht="14.5" x14ac:dyDescent="0.35">
      <c r="B1" s="74"/>
      <c r="C1" s="93"/>
      <c r="D1" s="75"/>
      <c r="E1" s="75"/>
      <c r="F1" s="173" t="s">
        <v>706</v>
      </c>
      <c r="G1" s="173"/>
      <c r="H1" s="173"/>
      <c r="I1" s="94"/>
      <c r="J1" s="174" t="s">
        <v>707</v>
      </c>
      <c r="K1" s="174"/>
      <c r="L1" s="174"/>
      <c r="M1" s="174"/>
      <c r="N1" s="174"/>
      <c r="O1" s="174"/>
      <c r="P1" s="174"/>
      <c r="Q1" s="174"/>
      <c r="R1" s="174"/>
      <c r="S1" s="175"/>
    </row>
    <row r="2" spans="1:19" ht="58" x14ac:dyDescent="0.35">
      <c r="B2" s="95" t="s">
        <v>10</v>
      </c>
      <c r="C2" s="96"/>
      <c r="D2" s="96" t="s">
        <v>51</v>
      </c>
      <c r="E2" s="96" t="s">
        <v>22</v>
      </c>
      <c r="F2" s="97" t="s">
        <v>61</v>
      </c>
      <c r="G2" s="97" t="s">
        <v>62</v>
      </c>
      <c r="H2" s="97" t="s">
        <v>63</v>
      </c>
      <c r="I2" s="98"/>
      <c r="J2" s="99" t="s">
        <v>709</v>
      </c>
      <c r="K2" s="100" t="s">
        <v>710</v>
      </c>
      <c r="L2" s="100" t="s">
        <v>711</v>
      </c>
      <c r="M2" s="100" t="s">
        <v>712</v>
      </c>
      <c r="N2" s="100" t="s">
        <v>713</v>
      </c>
      <c r="O2" s="100" t="s">
        <v>714</v>
      </c>
      <c r="P2" s="100" t="s">
        <v>715</v>
      </c>
      <c r="Q2" s="100" t="s">
        <v>716</v>
      </c>
      <c r="R2" s="100" t="s">
        <v>717</v>
      </c>
      <c r="S2" s="80" t="s">
        <v>718</v>
      </c>
    </row>
    <row r="3" spans="1:19" s="62" customFormat="1" ht="14.5" x14ac:dyDescent="0.35">
      <c r="A3" s="101"/>
      <c r="B3" s="62" t="s">
        <v>743</v>
      </c>
      <c r="C3" s="102"/>
      <c r="D3" s="84" t="s">
        <v>744</v>
      </c>
      <c r="E3" s="84" t="s">
        <v>745</v>
      </c>
      <c r="F3" s="78"/>
      <c r="G3" s="103">
        <v>25111</v>
      </c>
      <c r="H3" s="103">
        <v>25111</v>
      </c>
      <c r="I3" s="98"/>
      <c r="J3" s="79"/>
      <c r="K3" s="80" t="s">
        <v>187</v>
      </c>
      <c r="L3" s="80" t="s">
        <v>187</v>
      </c>
      <c r="M3" s="80" t="s">
        <v>187</v>
      </c>
      <c r="N3" s="80" t="s">
        <v>187</v>
      </c>
      <c r="O3" s="80" t="s">
        <v>187</v>
      </c>
      <c r="P3" s="80" t="s">
        <v>187</v>
      </c>
      <c r="Q3" s="80" t="s">
        <v>187</v>
      </c>
      <c r="R3" s="80" t="s">
        <v>187</v>
      </c>
      <c r="S3" s="80" t="s">
        <v>187</v>
      </c>
    </row>
    <row r="4" spans="1:19" s="62" customFormat="1" ht="14.5" x14ac:dyDescent="0.35">
      <c r="A4" s="101"/>
      <c r="B4" s="62" t="s">
        <v>743</v>
      </c>
      <c r="C4" s="102"/>
      <c r="D4" s="84" t="s">
        <v>746</v>
      </c>
      <c r="E4" s="84" t="s">
        <v>745</v>
      </c>
      <c r="F4" s="104"/>
      <c r="G4" s="105"/>
      <c r="H4" s="105"/>
      <c r="I4" s="98"/>
      <c r="J4" s="79"/>
      <c r="K4" s="80" t="s">
        <v>187</v>
      </c>
      <c r="L4" s="80" t="s">
        <v>187</v>
      </c>
      <c r="M4" s="80" t="s">
        <v>187</v>
      </c>
      <c r="N4" s="80" t="s">
        <v>187</v>
      </c>
      <c r="O4" s="80" t="s">
        <v>187</v>
      </c>
      <c r="P4" s="80" t="s">
        <v>187</v>
      </c>
      <c r="Q4" s="80" t="s">
        <v>187</v>
      </c>
      <c r="R4" s="80" t="s">
        <v>187</v>
      </c>
      <c r="S4" s="80" t="s">
        <v>187</v>
      </c>
    </row>
    <row r="5" spans="1:19" s="62" customFormat="1" ht="14.5" x14ac:dyDescent="0.35">
      <c r="A5" s="101"/>
      <c r="B5" s="62" t="s">
        <v>743</v>
      </c>
      <c r="C5" s="102"/>
      <c r="D5" s="84" t="s">
        <v>747</v>
      </c>
      <c r="E5" s="84" t="s">
        <v>720</v>
      </c>
      <c r="F5" s="104"/>
      <c r="G5" s="62">
        <v>1802</v>
      </c>
      <c r="H5" s="62">
        <v>1802</v>
      </c>
      <c r="I5" s="98"/>
      <c r="J5" s="38" t="s">
        <v>522</v>
      </c>
      <c r="K5" s="104">
        <v>4</v>
      </c>
      <c r="L5" s="104">
        <v>4</v>
      </c>
      <c r="M5" s="106">
        <v>0</v>
      </c>
      <c r="N5" s="106">
        <v>0</v>
      </c>
      <c r="O5" s="106">
        <v>4</v>
      </c>
      <c r="P5" s="106">
        <v>0</v>
      </c>
      <c r="Q5" s="106">
        <v>0</v>
      </c>
      <c r="R5" s="106">
        <v>0</v>
      </c>
      <c r="S5" s="104">
        <v>4</v>
      </c>
    </row>
    <row r="6" spans="1:19" ht="14.5" x14ac:dyDescent="0.35">
      <c r="B6" s="62" t="s">
        <v>743</v>
      </c>
      <c r="C6" s="107"/>
      <c r="D6" s="84" t="s">
        <v>748</v>
      </c>
      <c r="E6" s="84" t="s">
        <v>720</v>
      </c>
      <c r="F6" s="108"/>
      <c r="G6" s="105">
        <v>1425</v>
      </c>
      <c r="H6" s="105">
        <v>1425</v>
      </c>
      <c r="I6" s="98"/>
      <c r="J6" s="38" t="s">
        <v>522</v>
      </c>
      <c r="K6" s="108">
        <v>1</v>
      </c>
      <c r="L6" s="108">
        <v>1</v>
      </c>
      <c r="M6" s="109">
        <v>0</v>
      </c>
      <c r="N6" s="109">
        <v>0</v>
      </c>
      <c r="O6" s="109">
        <v>1</v>
      </c>
      <c r="P6" s="109">
        <v>0</v>
      </c>
      <c r="Q6" s="109">
        <v>0</v>
      </c>
      <c r="R6" s="109">
        <v>0</v>
      </c>
      <c r="S6" s="104">
        <v>1</v>
      </c>
    </row>
    <row r="7" spans="1:19" ht="14.5" x14ac:dyDescent="0.35">
      <c r="B7" s="62" t="s">
        <v>743</v>
      </c>
      <c r="C7" s="102"/>
      <c r="D7" s="84" t="s">
        <v>323</v>
      </c>
      <c r="E7" s="84" t="s">
        <v>720</v>
      </c>
      <c r="F7" s="110"/>
      <c r="G7" s="103">
        <v>25096</v>
      </c>
      <c r="H7" s="103">
        <v>25096</v>
      </c>
      <c r="I7" s="98"/>
      <c r="J7" s="38" t="s">
        <v>535</v>
      </c>
      <c r="K7" s="110">
        <v>10</v>
      </c>
      <c r="L7" s="110">
        <v>10</v>
      </c>
      <c r="M7" s="106">
        <v>0</v>
      </c>
      <c r="N7" s="106">
        <v>0</v>
      </c>
      <c r="O7" s="106">
        <v>10</v>
      </c>
      <c r="P7" s="106">
        <v>0</v>
      </c>
      <c r="Q7" s="106">
        <v>0</v>
      </c>
      <c r="R7" s="106">
        <v>0</v>
      </c>
      <c r="S7" s="108">
        <v>10</v>
      </c>
    </row>
    <row r="8" spans="1:19" ht="14.5" x14ac:dyDescent="0.35">
      <c r="B8" s="62" t="s">
        <v>743</v>
      </c>
      <c r="C8" s="102"/>
      <c r="D8" s="84" t="s">
        <v>538</v>
      </c>
      <c r="E8" s="111" t="s">
        <v>722</v>
      </c>
      <c r="F8" s="112"/>
      <c r="G8" s="113">
        <v>32735</v>
      </c>
      <c r="H8" s="113">
        <v>32735</v>
      </c>
      <c r="I8" s="98"/>
      <c r="J8" s="38" t="s">
        <v>522</v>
      </c>
      <c r="K8" s="110">
        <v>19</v>
      </c>
      <c r="L8" s="110">
        <v>19</v>
      </c>
      <c r="M8" s="106">
        <v>0</v>
      </c>
      <c r="N8" s="106">
        <v>0</v>
      </c>
      <c r="O8" s="106">
        <v>19</v>
      </c>
      <c r="P8" s="106">
        <v>0</v>
      </c>
      <c r="Q8" s="106">
        <v>0</v>
      </c>
      <c r="R8" s="106">
        <v>0</v>
      </c>
      <c r="S8" s="110">
        <v>19</v>
      </c>
    </row>
    <row r="9" spans="1:19" ht="15" customHeight="1" x14ac:dyDescent="0.35">
      <c r="B9" s="62" t="s">
        <v>743</v>
      </c>
      <c r="C9" s="102"/>
      <c r="D9" s="84" t="s">
        <v>173</v>
      </c>
      <c r="E9" s="84" t="s">
        <v>723</v>
      </c>
      <c r="F9" s="104"/>
      <c r="G9" s="62">
        <v>30122</v>
      </c>
      <c r="H9" s="62">
        <v>30122</v>
      </c>
      <c r="I9" s="98"/>
      <c r="J9" s="114" t="s">
        <v>749</v>
      </c>
      <c r="K9" s="112" t="s">
        <v>759</v>
      </c>
      <c r="L9" s="112" t="s">
        <v>759</v>
      </c>
      <c r="M9" s="115">
        <v>0</v>
      </c>
      <c r="N9" s="115">
        <v>7</v>
      </c>
      <c r="O9" s="115">
        <v>31</v>
      </c>
      <c r="P9" s="115">
        <v>0</v>
      </c>
      <c r="Q9" s="115">
        <v>0</v>
      </c>
      <c r="R9" s="115">
        <v>0</v>
      </c>
      <c r="S9" s="112">
        <v>38</v>
      </c>
    </row>
    <row r="10" spans="1:19" ht="14.5" x14ac:dyDescent="0.35">
      <c r="B10" s="62" t="s">
        <v>743</v>
      </c>
      <c r="D10" s="84" t="s">
        <v>537</v>
      </c>
      <c r="E10" s="84" t="s">
        <v>725</v>
      </c>
      <c r="F10" s="62"/>
      <c r="G10" s="62">
        <v>30122</v>
      </c>
      <c r="H10" s="62">
        <v>30122</v>
      </c>
      <c r="I10" s="98"/>
      <c r="J10" s="38" t="s">
        <v>522</v>
      </c>
      <c r="K10" s="117">
        <v>38</v>
      </c>
      <c r="L10" s="112">
        <v>38</v>
      </c>
      <c r="M10" s="118">
        <v>0</v>
      </c>
      <c r="N10" s="118">
        <v>0</v>
      </c>
      <c r="O10" s="118">
        <v>38</v>
      </c>
      <c r="P10" s="118">
        <v>0</v>
      </c>
      <c r="Q10" s="118">
        <v>0</v>
      </c>
      <c r="R10" s="118">
        <v>0</v>
      </c>
      <c r="S10" s="118">
        <v>38</v>
      </c>
    </row>
    <row r="11" spans="1:19" ht="14.5" x14ac:dyDescent="0.35">
      <c r="B11" s="62" t="s">
        <v>743</v>
      </c>
      <c r="D11" s="84" t="s">
        <v>323</v>
      </c>
      <c r="E11" s="84" t="s">
        <v>726</v>
      </c>
      <c r="F11" s="62"/>
      <c r="G11" s="62">
        <v>29623</v>
      </c>
      <c r="H11" s="62">
        <v>29623</v>
      </c>
      <c r="I11" s="98"/>
      <c r="J11" s="188" t="s">
        <v>749</v>
      </c>
      <c r="K11" s="186" t="s">
        <v>760</v>
      </c>
      <c r="L11" s="186" t="s">
        <v>760</v>
      </c>
      <c r="M11" s="186">
        <v>0</v>
      </c>
      <c r="N11" s="186">
        <v>5</v>
      </c>
      <c r="O11" s="186">
        <v>87</v>
      </c>
      <c r="P11" s="186">
        <v>0</v>
      </c>
      <c r="Q11" s="186">
        <v>0</v>
      </c>
      <c r="R11" s="186">
        <v>0</v>
      </c>
      <c r="S11" s="186">
        <v>92</v>
      </c>
    </row>
    <row r="12" spans="1:19" s="119" customFormat="1" ht="14.5" x14ac:dyDescent="0.35">
      <c r="B12" s="120" t="s">
        <v>743</v>
      </c>
      <c r="C12" s="121"/>
      <c r="D12" s="84" t="s">
        <v>323</v>
      </c>
      <c r="E12" s="84" t="s">
        <v>727</v>
      </c>
      <c r="F12" s="120"/>
      <c r="G12" s="62">
        <v>29623</v>
      </c>
      <c r="H12" s="62">
        <v>29623</v>
      </c>
      <c r="J12" s="189"/>
      <c r="K12" s="187"/>
      <c r="L12" s="187"/>
      <c r="M12" s="187"/>
      <c r="N12" s="187"/>
      <c r="O12" s="187"/>
      <c r="P12" s="187"/>
      <c r="Q12" s="187"/>
      <c r="R12" s="187"/>
      <c r="S12" s="187"/>
    </row>
    <row r="13" spans="1:19" ht="14.5" x14ac:dyDescent="0.35">
      <c r="I13" s="98"/>
    </row>
    <row r="14" spans="1:19" ht="14.5" x14ac:dyDescent="0.35">
      <c r="I14" s="98"/>
    </row>
    <row r="15" spans="1:19" ht="14.5" x14ac:dyDescent="0.35">
      <c r="I15" s="62"/>
      <c r="J15" s="62" t="s">
        <v>750</v>
      </c>
      <c r="K15" s="62"/>
      <c r="L15" s="62"/>
      <c r="M15" s="62"/>
      <c r="N15" s="62"/>
      <c r="O15" s="62"/>
      <c r="P15" s="62"/>
      <c r="Q15" s="62"/>
      <c r="R15" s="62"/>
      <c r="S15" s="62"/>
    </row>
    <row r="16" spans="1:19" ht="43.5" x14ac:dyDescent="0.35">
      <c r="I16" s="6" t="s">
        <v>51</v>
      </c>
      <c r="J16" s="79" t="s">
        <v>709</v>
      </c>
      <c r="K16" s="80" t="s">
        <v>710</v>
      </c>
      <c r="L16" s="80" t="s">
        <v>711</v>
      </c>
      <c r="M16" s="80" t="s">
        <v>712</v>
      </c>
      <c r="N16" s="80" t="s">
        <v>713</v>
      </c>
      <c r="O16" s="80" t="s">
        <v>714</v>
      </c>
      <c r="P16" s="80" t="s">
        <v>715</v>
      </c>
      <c r="Q16" s="80" t="s">
        <v>716</v>
      </c>
      <c r="R16" s="80" t="s">
        <v>717</v>
      </c>
      <c r="S16" s="80" t="s">
        <v>718</v>
      </c>
    </row>
    <row r="17" spans="9:19" ht="14.5" x14ac:dyDescent="0.35">
      <c r="I17" s="62"/>
      <c r="J17" s="62" t="s">
        <v>751</v>
      </c>
      <c r="K17" s="62"/>
      <c r="L17" s="62"/>
      <c r="M17" s="62"/>
      <c r="N17" s="62"/>
      <c r="O17" s="62"/>
      <c r="P17" s="62"/>
      <c r="Q17" s="62"/>
      <c r="R17" s="62"/>
      <c r="S17" s="62"/>
    </row>
    <row r="18" spans="9:19" ht="14.5" x14ac:dyDescent="0.35">
      <c r="I18" s="62"/>
      <c r="J18" s="62" t="s">
        <v>752</v>
      </c>
      <c r="K18" s="62"/>
      <c r="L18" s="62"/>
      <c r="M18" s="62"/>
      <c r="N18" s="62"/>
      <c r="O18" s="62"/>
      <c r="P18" s="62"/>
      <c r="Q18" s="62"/>
      <c r="R18" s="62"/>
      <c r="S18" s="62"/>
    </row>
    <row r="19" spans="9:19" ht="14.5" x14ac:dyDescent="0.35">
      <c r="I19" s="62"/>
      <c r="J19" s="62" t="s">
        <v>753</v>
      </c>
      <c r="K19" s="62"/>
      <c r="L19" s="62"/>
      <c r="M19" s="62"/>
      <c r="N19" s="62"/>
      <c r="O19" s="62"/>
      <c r="P19" s="62"/>
      <c r="Q19" s="62"/>
      <c r="R19" s="62"/>
      <c r="S19" s="62"/>
    </row>
    <row r="20" spans="9:19" ht="14.5" x14ac:dyDescent="0.35">
      <c r="I20" s="62"/>
      <c r="J20" s="62" t="s">
        <v>754</v>
      </c>
      <c r="K20" s="62"/>
      <c r="L20" s="62"/>
      <c r="M20" s="62"/>
      <c r="N20" s="62"/>
      <c r="O20" s="62"/>
      <c r="P20" s="62"/>
      <c r="Q20" s="62"/>
      <c r="R20" s="62"/>
      <c r="S20" s="62"/>
    </row>
    <row r="21" spans="9:19" ht="14.5" x14ac:dyDescent="0.35">
      <c r="I21" s="62"/>
      <c r="J21" s="62" t="s">
        <v>755</v>
      </c>
      <c r="K21" s="62"/>
      <c r="L21" s="62"/>
      <c r="M21" s="62"/>
      <c r="N21" s="62"/>
      <c r="O21" s="62"/>
      <c r="P21" s="62"/>
      <c r="Q21" s="62"/>
      <c r="R21" s="62"/>
      <c r="S21" s="62"/>
    </row>
    <row r="22" spans="9:19" ht="14.5" x14ac:dyDescent="0.35">
      <c r="I22" s="62"/>
      <c r="J22" s="62" t="s">
        <v>756</v>
      </c>
      <c r="K22" s="62"/>
      <c r="L22" s="62"/>
      <c r="M22" s="62"/>
      <c r="N22" s="62"/>
      <c r="O22" s="62"/>
      <c r="P22" s="62"/>
      <c r="Q22" s="62"/>
      <c r="R22" s="62"/>
      <c r="S22" s="62"/>
    </row>
    <row r="23" spans="9:19" ht="14.5" x14ac:dyDescent="0.35">
      <c r="I23" s="62"/>
      <c r="J23" s="62" t="s">
        <v>757</v>
      </c>
      <c r="K23" s="62"/>
      <c r="L23" s="62"/>
      <c r="M23" s="62"/>
      <c r="N23" s="62"/>
      <c r="O23" s="62"/>
      <c r="P23" s="62"/>
      <c r="Q23" s="62"/>
      <c r="R23" s="62"/>
      <c r="S23" s="62"/>
    </row>
    <row r="24" spans="9:19" ht="14.5" x14ac:dyDescent="0.35">
      <c r="I24" s="62"/>
      <c r="J24" s="62" t="s">
        <v>758</v>
      </c>
      <c r="K24" s="62"/>
      <c r="L24" s="62"/>
      <c r="M24" s="62"/>
      <c r="N24" s="62"/>
      <c r="O24" s="62"/>
      <c r="P24" s="62"/>
      <c r="Q24" s="62"/>
      <c r="R24" s="62"/>
      <c r="S24" s="62"/>
    </row>
    <row r="25" spans="9:19" ht="14.5" x14ac:dyDescent="0.35">
      <c r="I25" s="98"/>
    </row>
    <row r="26" spans="9:19" ht="14.5" x14ac:dyDescent="0.35">
      <c r="I26" s="98"/>
    </row>
    <row r="27" spans="9:19" ht="14.5" x14ac:dyDescent="0.35">
      <c r="I27" s="98"/>
    </row>
    <row r="28" spans="9:19" ht="14.5" x14ac:dyDescent="0.35">
      <c r="I28" s="98"/>
    </row>
    <row r="29" spans="9:19" ht="14.5" x14ac:dyDescent="0.35">
      <c r="I29" s="98"/>
    </row>
    <row r="30" spans="9:19" ht="14.5" x14ac:dyDescent="0.35">
      <c r="I30" s="98"/>
    </row>
    <row r="31" spans="9:19" ht="14.5" x14ac:dyDescent="0.35">
      <c r="I31" s="98"/>
    </row>
    <row r="32" spans="9:19" ht="14.5" x14ac:dyDescent="0.35">
      <c r="I32" s="98"/>
    </row>
    <row r="33" spans="9:9" ht="14.5" x14ac:dyDescent="0.35">
      <c r="I33" s="98"/>
    </row>
    <row r="34" spans="9:9" ht="14.5" x14ac:dyDescent="0.35">
      <c r="I34" s="98"/>
    </row>
    <row r="35" spans="9:9" ht="14.5" x14ac:dyDescent="0.35">
      <c r="I35" s="98"/>
    </row>
    <row r="36" spans="9:9" thickBot="1" x14ac:dyDescent="0.4">
      <c r="I36" s="98"/>
    </row>
  </sheetData>
  <mergeCells count="12">
    <mergeCell ref="R11:R12"/>
    <mergeCell ref="S11:S12"/>
    <mergeCell ref="F1:H1"/>
    <mergeCell ref="J1:S1"/>
    <mergeCell ref="J11:J12"/>
    <mergeCell ref="K11:K12"/>
    <mergeCell ref="L11:L12"/>
    <mergeCell ref="M11:M12"/>
    <mergeCell ref="N11:N12"/>
    <mergeCell ref="O11:O12"/>
    <mergeCell ref="P11:P12"/>
    <mergeCell ref="Q11:Q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20"/>
  <sheetViews>
    <sheetView topLeftCell="L24" workbookViewId="0">
      <selection activeCell="M28" sqref="M28"/>
    </sheetView>
  </sheetViews>
  <sheetFormatPr defaultColWidth="24.1796875" defaultRowHeight="14.5" x14ac:dyDescent="0.35"/>
  <cols>
    <col min="1" max="1" width="30.54296875" style="8" customWidth="1"/>
    <col min="2" max="2" width="24.1796875" style="8"/>
    <col min="3" max="3" width="25.54296875" style="8" customWidth="1"/>
    <col min="4" max="4" width="40" style="8" customWidth="1"/>
    <col min="5" max="5" width="20.54296875" style="8" bestFit="1" customWidth="1"/>
    <col min="6" max="6" width="24.81640625" style="8" bestFit="1" customWidth="1"/>
    <col min="7" max="7" width="18.54296875" style="8" bestFit="1" customWidth="1"/>
    <col min="8" max="8" width="28.453125" style="8" bestFit="1" customWidth="1"/>
    <col min="9" max="16384" width="24.1796875" style="8"/>
  </cols>
  <sheetData>
    <row r="1" spans="1:12" s="4" customFormat="1" x14ac:dyDescent="0.35">
      <c r="A1" s="156" t="s">
        <v>87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</row>
    <row r="2" spans="1:12" s="4" customFormat="1" x14ac:dyDescent="0.35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</row>
    <row r="3" spans="1:12" s="4" customFormat="1" x14ac:dyDescent="0.35">
      <c r="A3" s="5" t="s">
        <v>86</v>
      </c>
      <c r="B3" s="5" t="s">
        <v>1</v>
      </c>
      <c r="C3" s="5" t="s">
        <v>0</v>
      </c>
      <c r="D3" s="5" t="s">
        <v>107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</row>
    <row r="4" spans="1:12" ht="43.5" x14ac:dyDescent="0.35">
      <c r="A4" s="18">
        <v>1</v>
      </c>
      <c r="B4" s="18" t="s">
        <v>761</v>
      </c>
      <c r="C4" s="18" t="s">
        <v>88</v>
      </c>
      <c r="D4" s="19" t="s">
        <v>559</v>
      </c>
      <c r="E4" s="18" t="s">
        <v>88</v>
      </c>
      <c r="F4" s="18" t="s">
        <v>110</v>
      </c>
      <c r="G4" s="18" t="s">
        <v>392</v>
      </c>
      <c r="H4" s="3" t="s">
        <v>560</v>
      </c>
      <c r="I4" s="18" t="s">
        <v>89</v>
      </c>
      <c r="J4" s="3" t="s">
        <v>90</v>
      </c>
      <c r="K4" s="18" t="s">
        <v>512</v>
      </c>
      <c r="L4" s="20">
        <v>1</v>
      </c>
    </row>
    <row r="5" spans="1:12" x14ac:dyDescent="0.3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x14ac:dyDescent="0.35">
      <c r="G6" s="21"/>
      <c r="H6" s="21"/>
      <c r="I6" s="21"/>
      <c r="J6" s="21"/>
      <c r="K6" s="21"/>
      <c r="L6" s="21"/>
    </row>
    <row r="8" spans="1:12" ht="29" x14ac:dyDescent="0.35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  <c r="I8" s="5" t="s">
        <v>18</v>
      </c>
      <c r="J8" s="5" t="s">
        <v>19</v>
      </c>
      <c r="K8" s="5" t="s">
        <v>20</v>
      </c>
    </row>
    <row r="9" spans="1:12" x14ac:dyDescent="0.35">
      <c r="A9" s="6" t="s">
        <v>561</v>
      </c>
      <c r="B9" s="6"/>
      <c r="C9" s="6" t="s">
        <v>562</v>
      </c>
      <c r="D9" s="7" t="s">
        <v>563</v>
      </c>
      <c r="E9" s="7">
        <v>220617</v>
      </c>
      <c r="F9" s="7" t="s">
        <v>741</v>
      </c>
      <c r="G9" s="7" t="s">
        <v>742</v>
      </c>
      <c r="H9" s="37">
        <v>2008</v>
      </c>
      <c r="I9" s="37">
        <v>2010</v>
      </c>
      <c r="J9" s="37">
        <v>2010</v>
      </c>
      <c r="K9" s="37">
        <v>2010</v>
      </c>
    </row>
    <row r="10" spans="1:12" x14ac:dyDescent="0.35">
      <c r="D10" s="8">
        <f>10.764*220326.48</f>
        <v>2371594.2307199999</v>
      </c>
    </row>
    <row r="13" spans="1:12" x14ac:dyDescent="0.35">
      <c r="A13" s="156" t="s">
        <v>93</v>
      </c>
      <c r="B13" s="156"/>
      <c r="C13" s="156"/>
      <c r="D13" s="156"/>
      <c r="E13" s="156"/>
    </row>
    <row r="14" spans="1:12" x14ac:dyDescent="0.35">
      <c r="A14" s="5" t="s">
        <v>10</v>
      </c>
      <c r="B14" s="5" t="s">
        <v>21</v>
      </c>
      <c r="C14" s="5" t="s">
        <v>22</v>
      </c>
      <c r="D14" s="5" t="s">
        <v>23</v>
      </c>
      <c r="E14" s="5" t="s">
        <v>24</v>
      </c>
      <c r="G14" s="30" t="s">
        <v>177</v>
      </c>
    </row>
    <row r="15" spans="1:12" x14ac:dyDescent="0.35">
      <c r="A15" s="2" t="s">
        <v>561</v>
      </c>
      <c r="B15" s="2" t="s">
        <v>773</v>
      </c>
      <c r="C15" s="2" t="s">
        <v>279</v>
      </c>
      <c r="D15" s="1">
        <v>13637.87</v>
      </c>
      <c r="E15" s="3"/>
      <c r="F15" s="9"/>
      <c r="G15" s="2" t="s">
        <v>564</v>
      </c>
    </row>
    <row r="16" spans="1:12" x14ac:dyDescent="0.35">
      <c r="A16" s="2" t="s">
        <v>561</v>
      </c>
      <c r="B16" s="2" t="s">
        <v>773</v>
      </c>
      <c r="C16" s="2" t="s">
        <v>280</v>
      </c>
      <c r="D16" s="26">
        <v>13853.15</v>
      </c>
      <c r="E16" s="3"/>
      <c r="F16" s="9"/>
      <c r="G16" s="2" t="s">
        <v>565</v>
      </c>
    </row>
    <row r="17" spans="1:14" x14ac:dyDescent="0.35">
      <c r="A17" s="2" t="s">
        <v>561</v>
      </c>
      <c r="B17" s="2" t="s">
        <v>773</v>
      </c>
      <c r="C17" s="2" t="s">
        <v>281</v>
      </c>
      <c r="D17" s="26">
        <v>13853.15</v>
      </c>
      <c r="E17" s="3"/>
      <c r="F17" s="9"/>
      <c r="G17" s="2" t="s">
        <v>565</v>
      </c>
    </row>
    <row r="18" spans="1:14" x14ac:dyDescent="0.35">
      <c r="A18" s="2" t="s">
        <v>561</v>
      </c>
      <c r="B18" s="2" t="s">
        <v>773</v>
      </c>
      <c r="C18" s="2" t="s">
        <v>282</v>
      </c>
      <c r="D18" s="1">
        <v>25887.200000000001</v>
      </c>
      <c r="E18" s="3"/>
      <c r="F18" s="9"/>
      <c r="G18" s="2" t="s">
        <v>566</v>
      </c>
    </row>
    <row r="19" spans="1:14" x14ac:dyDescent="0.35">
      <c r="A19" s="2" t="s">
        <v>561</v>
      </c>
      <c r="B19" s="2" t="s">
        <v>773</v>
      </c>
      <c r="C19" s="2" t="s">
        <v>287</v>
      </c>
      <c r="D19" s="1">
        <v>25887.200000000001</v>
      </c>
      <c r="E19" s="3"/>
      <c r="F19" s="9"/>
      <c r="G19" s="2" t="s">
        <v>566</v>
      </c>
    </row>
    <row r="20" spans="1:14" x14ac:dyDescent="0.35">
      <c r="A20" s="2" t="s">
        <v>561</v>
      </c>
      <c r="B20" s="2" t="s">
        <v>772</v>
      </c>
      <c r="C20" s="2" t="s">
        <v>288</v>
      </c>
      <c r="D20" s="1">
        <v>25499.7</v>
      </c>
      <c r="E20" s="3"/>
      <c r="F20" s="9"/>
      <c r="G20" s="3" t="s">
        <v>567</v>
      </c>
    </row>
    <row r="21" spans="1:14" x14ac:dyDescent="0.35">
      <c r="A21" s="2" t="s">
        <v>561</v>
      </c>
      <c r="B21" s="2" t="s">
        <v>772</v>
      </c>
      <c r="C21" s="2" t="s">
        <v>289</v>
      </c>
      <c r="D21" s="1">
        <v>25499.7</v>
      </c>
      <c r="E21" s="3"/>
      <c r="F21" s="9"/>
      <c r="G21" s="3" t="s">
        <v>567</v>
      </c>
    </row>
    <row r="22" spans="1:14" x14ac:dyDescent="0.35">
      <c r="A22" s="2" t="s">
        <v>561</v>
      </c>
      <c r="B22" s="2" t="s">
        <v>772</v>
      </c>
      <c r="C22" s="2" t="s">
        <v>290</v>
      </c>
      <c r="D22" s="1">
        <v>25499.7</v>
      </c>
      <c r="E22" s="3"/>
      <c r="F22" s="9"/>
      <c r="G22" s="3" t="s">
        <v>567</v>
      </c>
    </row>
    <row r="23" spans="1:14" x14ac:dyDescent="0.35">
      <c r="A23" s="2" t="s">
        <v>561</v>
      </c>
      <c r="B23" s="2" t="s">
        <v>772</v>
      </c>
      <c r="C23" s="2" t="s">
        <v>291</v>
      </c>
      <c r="D23" s="1">
        <v>25499.7</v>
      </c>
      <c r="E23" s="3"/>
      <c r="F23" s="9"/>
      <c r="G23" s="3" t="s">
        <v>567</v>
      </c>
    </row>
    <row r="24" spans="1:14" x14ac:dyDescent="0.35">
      <c r="A24" s="2" t="s">
        <v>561</v>
      </c>
      <c r="B24" s="2" t="s">
        <v>772</v>
      </c>
      <c r="C24" s="2" t="s">
        <v>403</v>
      </c>
      <c r="D24" s="1">
        <v>25499.7</v>
      </c>
      <c r="E24" s="3"/>
      <c r="F24" s="9"/>
      <c r="G24" s="3" t="s">
        <v>567</v>
      </c>
    </row>
    <row r="25" spans="1:14" x14ac:dyDescent="0.35">
      <c r="A25" s="2"/>
      <c r="B25" s="2"/>
      <c r="C25" s="2"/>
      <c r="D25" s="1"/>
      <c r="E25" s="3"/>
      <c r="F25" s="9"/>
      <c r="G25" s="3"/>
    </row>
    <row r="26" spans="1:14" x14ac:dyDescent="0.35">
      <c r="A26" s="156" t="s">
        <v>103</v>
      </c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</row>
    <row r="27" spans="1:14" ht="15" customHeight="1" x14ac:dyDescent="0.35">
      <c r="A27" s="5" t="s">
        <v>72</v>
      </c>
      <c r="B27" s="5" t="s">
        <v>73</v>
      </c>
      <c r="C27" s="5" t="s">
        <v>169</v>
      </c>
      <c r="D27" s="5" t="s">
        <v>167</v>
      </c>
      <c r="E27" s="5" t="s">
        <v>168</v>
      </c>
      <c r="F27" s="5" t="s">
        <v>74</v>
      </c>
      <c r="G27" s="5" t="s">
        <v>75</v>
      </c>
      <c r="H27" s="5" t="s">
        <v>126</v>
      </c>
      <c r="I27" s="5" t="s">
        <v>125</v>
      </c>
      <c r="J27" s="5" t="s">
        <v>122</v>
      </c>
      <c r="K27" s="5" t="s">
        <v>123</v>
      </c>
      <c r="L27" s="5" t="s">
        <v>124</v>
      </c>
      <c r="M27" s="5" t="s">
        <v>76</v>
      </c>
      <c r="N27" s="5" t="s">
        <v>77</v>
      </c>
    </row>
    <row r="28" spans="1:14" x14ac:dyDescent="0.35">
      <c r="A28" s="6" t="s">
        <v>568</v>
      </c>
      <c r="B28" s="13">
        <v>2</v>
      </c>
      <c r="C28" s="13">
        <v>66</v>
      </c>
      <c r="D28" s="13">
        <v>17</v>
      </c>
      <c r="E28" s="28">
        <v>13</v>
      </c>
      <c r="F28" s="6" t="s">
        <v>569</v>
      </c>
      <c r="G28" s="14" t="s">
        <v>127</v>
      </c>
      <c r="H28" s="6">
        <v>1650</v>
      </c>
      <c r="I28" s="6">
        <v>1650</v>
      </c>
      <c r="J28" s="6">
        <v>1650</v>
      </c>
      <c r="K28" s="6"/>
      <c r="L28" s="6">
        <v>1485</v>
      </c>
      <c r="M28" s="13" t="s">
        <v>570</v>
      </c>
      <c r="N28" s="41">
        <v>150</v>
      </c>
    </row>
    <row r="29" spans="1:14" x14ac:dyDescent="0.35">
      <c r="A29" s="6"/>
      <c r="B29" s="13"/>
      <c r="C29" s="13"/>
      <c r="D29" s="13"/>
      <c r="E29" s="28"/>
      <c r="F29" s="6"/>
      <c r="G29" s="14"/>
      <c r="H29" s="6"/>
      <c r="I29" s="6"/>
      <c r="J29" s="6"/>
      <c r="K29" s="6"/>
      <c r="L29" s="6"/>
      <c r="M29" s="27"/>
      <c r="N29" s="27"/>
    </row>
    <row r="31" spans="1:14" x14ac:dyDescent="0.35">
      <c r="A31" s="156" t="s">
        <v>104</v>
      </c>
      <c r="B31" s="156"/>
    </row>
    <row r="32" spans="1:14" x14ac:dyDescent="0.35">
      <c r="A32" s="5" t="s">
        <v>78</v>
      </c>
      <c r="B32" s="5" t="s">
        <v>79</v>
      </c>
    </row>
    <row r="33" spans="1:6" x14ac:dyDescent="0.35">
      <c r="A33" s="2" t="s">
        <v>171</v>
      </c>
      <c r="B33" s="13" t="s">
        <v>187</v>
      </c>
    </row>
    <row r="34" spans="1:6" x14ac:dyDescent="0.35">
      <c r="A34" s="2" t="s">
        <v>571</v>
      </c>
      <c r="B34" s="13">
        <f>250*2</f>
        <v>500</v>
      </c>
    </row>
    <row r="37" spans="1:6" x14ac:dyDescent="0.35">
      <c r="A37" s="156" t="s">
        <v>298</v>
      </c>
      <c r="B37" s="156"/>
    </row>
    <row r="38" spans="1:6" x14ac:dyDescent="0.35">
      <c r="A38" s="5" t="s">
        <v>80</v>
      </c>
      <c r="B38" s="5" t="s">
        <v>81</v>
      </c>
    </row>
    <row r="39" spans="1:6" x14ac:dyDescent="0.35">
      <c r="A39" s="2" t="s">
        <v>128</v>
      </c>
      <c r="B39" s="13" t="s">
        <v>187</v>
      </c>
    </row>
    <row r="40" spans="1:6" x14ac:dyDescent="0.35">
      <c r="A40" s="2" t="s">
        <v>129</v>
      </c>
      <c r="B40" s="13">
        <v>20</v>
      </c>
    </row>
    <row r="41" spans="1:6" x14ac:dyDescent="0.35">
      <c r="A41" s="6" t="s">
        <v>106</v>
      </c>
      <c r="B41" s="13">
        <v>25</v>
      </c>
    </row>
    <row r="43" spans="1:6" x14ac:dyDescent="0.35">
      <c r="A43" s="156" t="s">
        <v>105</v>
      </c>
      <c r="B43" s="156"/>
      <c r="C43" s="156"/>
      <c r="D43" s="156"/>
    </row>
    <row r="44" spans="1:6" s="23" customFormat="1" x14ac:dyDescent="0.35">
      <c r="A44" s="10" t="s">
        <v>82</v>
      </c>
      <c r="B44" s="10" t="s">
        <v>83</v>
      </c>
      <c r="C44" s="10" t="s">
        <v>84</v>
      </c>
      <c r="D44" s="10" t="s">
        <v>85</v>
      </c>
      <c r="F44" s="8"/>
    </row>
    <row r="45" spans="1:6" x14ac:dyDescent="0.35">
      <c r="A45" s="6" t="s">
        <v>130</v>
      </c>
      <c r="B45" s="6" t="s">
        <v>279</v>
      </c>
      <c r="C45" s="13">
        <v>250</v>
      </c>
      <c r="D45" s="22">
        <f>C45*35.3146</f>
        <v>8828.65</v>
      </c>
    </row>
    <row r="46" spans="1:6" x14ac:dyDescent="0.35">
      <c r="A46" s="6" t="s">
        <v>133</v>
      </c>
      <c r="B46" s="6" t="s">
        <v>279</v>
      </c>
      <c r="C46" s="13">
        <v>75</v>
      </c>
      <c r="D46" s="22">
        <f t="shared" ref="D46:D55" si="0">C46*35.3146</f>
        <v>2648.5949999999998</v>
      </c>
    </row>
    <row r="47" spans="1:6" x14ac:dyDescent="0.35">
      <c r="A47" s="6" t="s">
        <v>130</v>
      </c>
      <c r="B47" s="6" t="s">
        <v>135</v>
      </c>
      <c r="C47" s="13">
        <v>40</v>
      </c>
      <c r="D47" s="22">
        <f t="shared" si="0"/>
        <v>1412.5839999999998</v>
      </c>
    </row>
    <row r="48" spans="1:6" x14ac:dyDescent="0.35">
      <c r="A48" s="2" t="s">
        <v>157</v>
      </c>
      <c r="B48" s="6" t="s">
        <v>135</v>
      </c>
      <c r="C48" s="13">
        <v>20</v>
      </c>
      <c r="D48" s="22">
        <f t="shared" si="0"/>
        <v>706.29199999999992</v>
      </c>
    </row>
    <row r="49" spans="1:10" x14ac:dyDescent="0.35">
      <c r="A49" s="2" t="s">
        <v>528</v>
      </c>
      <c r="B49" s="6" t="s">
        <v>135</v>
      </c>
      <c r="C49" s="13">
        <v>10</v>
      </c>
      <c r="D49" s="22">
        <f t="shared" si="0"/>
        <v>353.14599999999996</v>
      </c>
    </row>
    <row r="50" spans="1:10" x14ac:dyDescent="0.35">
      <c r="A50" s="16" t="s">
        <v>159</v>
      </c>
      <c r="B50" s="6" t="s">
        <v>279</v>
      </c>
      <c r="C50" s="13">
        <v>67.8</v>
      </c>
      <c r="D50" s="22">
        <f t="shared" si="0"/>
        <v>2394.3298799999998</v>
      </c>
    </row>
    <row r="51" spans="1:10" x14ac:dyDescent="0.35">
      <c r="A51" s="2" t="s">
        <v>572</v>
      </c>
      <c r="B51" s="6" t="s">
        <v>279</v>
      </c>
      <c r="C51" s="13">
        <v>63.3</v>
      </c>
      <c r="D51" s="22">
        <f t="shared" si="0"/>
        <v>2235.4141799999998</v>
      </c>
    </row>
    <row r="52" spans="1:10" x14ac:dyDescent="0.35">
      <c r="A52" s="2" t="s">
        <v>573</v>
      </c>
      <c r="B52" s="6" t="s">
        <v>279</v>
      </c>
      <c r="C52" s="13">
        <v>63.3</v>
      </c>
      <c r="D52" s="22">
        <f t="shared" si="0"/>
        <v>2235.4141799999998</v>
      </c>
    </row>
    <row r="53" spans="1:10" x14ac:dyDescent="0.35">
      <c r="A53" s="2" t="s">
        <v>160</v>
      </c>
      <c r="B53" s="6" t="s">
        <v>279</v>
      </c>
      <c r="C53" s="13">
        <v>17.5</v>
      </c>
      <c r="D53" s="22">
        <f t="shared" si="0"/>
        <v>618.00549999999998</v>
      </c>
    </row>
    <row r="54" spans="1:10" x14ac:dyDescent="0.35">
      <c r="A54" s="16" t="s">
        <v>574</v>
      </c>
      <c r="B54" s="6" t="s">
        <v>279</v>
      </c>
      <c r="C54" s="13">
        <v>58.5</v>
      </c>
      <c r="D54" s="22">
        <f t="shared" si="0"/>
        <v>2065.9040999999997</v>
      </c>
    </row>
    <row r="55" spans="1:10" x14ac:dyDescent="0.35">
      <c r="A55" s="2" t="s">
        <v>318</v>
      </c>
      <c r="B55" s="6" t="s">
        <v>279</v>
      </c>
      <c r="C55" s="13">
        <v>84.2</v>
      </c>
      <c r="D55" s="22">
        <f t="shared" si="0"/>
        <v>2973.4893200000001</v>
      </c>
    </row>
    <row r="56" spans="1:10" x14ac:dyDescent="0.35">
      <c r="A56" s="2"/>
      <c r="B56" s="6"/>
      <c r="C56" s="13"/>
      <c r="D56" s="22"/>
    </row>
    <row r="58" spans="1:10" x14ac:dyDescent="0.35">
      <c r="A58" s="163" t="s">
        <v>92</v>
      </c>
      <c r="B58" s="164"/>
      <c r="C58" s="164"/>
      <c r="D58" s="165"/>
      <c r="E58" s="10"/>
      <c r="F58" s="10"/>
      <c r="G58" s="10"/>
      <c r="H58" s="10"/>
      <c r="I58" s="10"/>
      <c r="J58" s="10"/>
    </row>
    <row r="59" spans="1:10" s="23" customFormat="1" x14ac:dyDescent="0.35">
      <c r="A59" s="10" t="s">
        <v>22</v>
      </c>
      <c r="B59" s="10" t="s">
        <v>30</v>
      </c>
      <c r="C59" s="10" t="s">
        <v>31</v>
      </c>
      <c r="D59" s="10" t="s">
        <v>32</v>
      </c>
      <c r="E59" s="10" t="s">
        <v>33</v>
      </c>
      <c r="F59" s="10" t="s">
        <v>34</v>
      </c>
      <c r="G59" s="10" t="s">
        <v>35</v>
      </c>
      <c r="H59" s="10" t="s">
        <v>36</v>
      </c>
      <c r="I59" s="10" t="s">
        <v>37</v>
      </c>
      <c r="J59" s="10" t="s">
        <v>38</v>
      </c>
    </row>
    <row r="60" spans="1:10" x14ac:dyDescent="0.35">
      <c r="A60" s="2" t="s">
        <v>575</v>
      </c>
      <c r="B60" s="28" t="s">
        <v>187</v>
      </c>
      <c r="C60" s="28">
        <v>28</v>
      </c>
      <c r="D60" s="28">
        <v>0</v>
      </c>
      <c r="E60" s="28">
        <v>0</v>
      </c>
      <c r="F60" s="28">
        <v>28</v>
      </c>
      <c r="G60" s="28">
        <v>0</v>
      </c>
      <c r="H60" s="28">
        <v>0</v>
      </c>
      <c r="I60" s="28">
        <v>0</v>
      </c>
      <c r="J60" s="28">
        <v>0</v>
      </c>
    </row>
    <row r="61" spans="1:10" x14ac:dyDescent="0.35">
      <c r="A61" s="2" t="s">
        <v>576</v>
      </c>
      <c r="B61" s="28" t="s">
        <v>187</v>
      </c>
      <c r="C61" s="28">
        <v>84</v>
      </c>
      <c r="D61" s="28">
        <v>0</v>
      </c>
      <c r="E61" s="28">
        <v>0</v>
      </c>
      <c r="F61" s="28">
        <v>84</v>
      </c>
      <c r="G61" s="28">
        <v>0</v>
      </c>
      <c r="H61" s="28">
        <v>0</v>
      </c>
      <c r="I61" s="28">
        <v>0</v>
      </c>
      <c r="J61" s="28">
        <v>18</v>
      </c>
    </row>
    <row r="62" spans="1:10" x14ac:dyDescent="0.35">
      <c r="A62" s="2" t="s">
        <v>577</v>
      </c>
      <c r="B62" s="28" t="s">
        <v>187</v>
      </c>
      <c r="C62" s="28">
        <v>29</v>
      </c>
      <c r="D62" s="28">
        <v>0</v>
      </c>
      <c r="E62" s="28">
        <v>0</v>
      </c>
      <c r="F62" s="28">
        <v>29</v>
      </c>
      <c r="G62" s="28">
        <v>0</v>
      </c>
      <c r="H62" s="28">
        <v>0</v>
      </c>
      <c r="I62" s="28">
        <v>0</v>
      </c>
      <c r="J62" s="28">
        <v>8</v>
      </c>
    </row>
    <row r="63" spans="1:10" x14ac:dyDescent="0.35">
      <c r="A63" s="2" t="s">
        <v>381</v>
      </c>
      <c r="B63" s="28" t="s">
        <v>187</v>
      </c>
      <c r="C63" s="28">
        <v>27</v>
      </c>
      <c r="D63" s="28">
        <v>0</v>
      </c>
      <c r="E63" s="28">
        <v>0</v>
      </c>
      <c r="F63" s="28">
        <v>27</v>
      </c>
      <c r="G63" s="28">
        <v>0</v>
      </c>
      <c r="H63" s="28">
        <v>0</v>
      </c>
      <c r="I63" s="28">
        <v>0</v>
      </c>
      <c r="J63" s="28">
        <v>22</v>
      </c>
    </row>
    <row r="64" spans="1:10" x14ac:dyDescent="0.35">
      <c r="A64" s="6" t="s">
        <v>491</v>
      </c>
      <c r="B64" s="28" t="s">
        <v>187</v>
      </c>
      <c r="C64" s="28">
        <v>19</v>
      </c>
      <c r="D64" s="28">
        <v>0</v>
      </c>
      <c r="E64" s="28">
        <v>0</v>
      </c>
      <c r="F64" s="28">
        <v>19</v>
      </c>
      <c r="G64" s="28">
        <v>0</v>
      </c>
      <c r="H64" s="28">
        <v>0</v>
      </c>
      <c r="I64" s="28">
        <v>0</v>
      </c>
      <c r="J64" s="28">
        <v>6</v>
      </c>
    </row>
    <row r="65" spans="1:10" x14ac:dyDescent="0.35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x14ac:dyDescent="0.35">
      <c r="A66" s="163" t="s">
        <v>109</v>
      </c>
      <c r="B66" s="164"/>
      <c r="C66" s="164"/>
      <c r="D66" s="165"/>
      <c r="E66" s="10"/>
      <c r="F66" s="10"/>
      <c r="G66" s="10"/>
      <c r="H66" s="10"/>
      <c r="I66" s="10"/>
      <c r="J66" s="10"/>
    </row>
    <row r="67" spans="1:10" s="23" customFormat="1" x14ac:dyDescent="0.35">
      <c r="A67" s="10" t="s">
        <v>22</v>
      </c>
      <c r="B67" s="10" t="s">
        <v>30</v>
      </c>
      <c r="C67" s="10" t="s">
        <v>31</v>
      </c>
      <c r="D67" s="10" t="s">
        <v>32</v>
      </c>
      <c r="E67" s="10" t="s">
        <v>33</v>
      </c>
      <c r="F67" s="10" t="s">
        <v>34</v>
      </c>
      <c r="G67" s="10" t="s">
        <v>35</v>
      </c>
      <c r="H67" s="10" t="s">
        <v>36</v>
      </c>
      <c r="I67" s="10" t="s">
        <v>37</v>
      </c>
      <c r="J67" s="10" t="s">
        <v>38</v>
      </c>
    </row>
    <row r="68" spans="1:10" x14ac:dyDescent="0.35">
      <c r="A68" s="17">
        <v>0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</row>
    <row r="69" spans="1:10" x14ac:dyDescent="0.35">
      <c r="A69" s="13">
        <v>0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</row>
    <row r="70" spans="1:10" x14ac:dyDescent="0.35">
      <c r="B70" s="6"/>
      <c r="C70" s="6"/>
      <c r="D70" s="6"/>
      <c r="E70" s="6"/>
      <c r="F70" s="6"/>
      <c r="G70" s="6"/>
      <c r="H70" s="6"/>
      <c r="I70" s="6"/>
      <c r="J70" s="6"/>
    </row>
    <row r="71" spans="1:10" s="23" customFormat="1" x14ac:dyDescent="0.35">
      <c r="B71" s="12" t="s">
        <v>25</v>
      </c>
      <c r="C71" s="10" t="s">
        <v>26</v>
      </c>
      <c r="D71" s="12" t="s">
        <v>27</v>
      </c>
      <c r="E71" s="10" t="s">
        <v>26</v>
      </c>
      <c r="F71" s="12" t="s">
        <v>28</v>
      </c>
      <c r="G71" s="10" t="s">
        <v>26</v>
      </c>
      <c r="H71" s="12" t="s">
        <v>29</v>
      </c>
      <c r="I71" s="10" t="s">
        <v>138</v>
      </c>
      <c r="J71" s="10" t="s">
        <v>26</v>
      </c>
    </row>
    <row r="72" spans="1:10" x14ac:dyDescent="0.35">
      <c r="A72" s="6" t="s">
        <v>561</v>
      </c>
      <c r="B72" s="6" t="s">
        <v>136</v>
      </c>
      <c r="C72" s="13">
        <v>2</v>
      </c>
      <c r="D72" s="6" t="s">
        <v>95</v>
      </c>
      <c r="E72" s="13">
        <v>2</v>
      </c>
      <c r="F72" s="2" t="s">
        <v>97</v>
      </c>
      <c r="G72" s="13">
        <v>1</v>
      </c>
      <c r="H72" s="7"/>
      <c r="I72" s="24"/>
      <c r="J72" s="15"/>
    </row>
    <row r="73" spans="1:10" x14ac:dyDescent="0.35">
      <c r="A73" s="6"/>
      <c r="B73" s="6"/>
      <c r="C73" s="6"/>
      <c r="D73" s="6" t="s">
        <v>161</v>
      </c>
      <c r="E73" s="13">
        <v>2</v>
      </c>
      <c r="F73" s="2" t="s">
        <v>98</v>
      </c>
      <c r="G73" s="13">
        <v>1</v>
      </c>
      <c r="H73" s="7"/>
      <c r="I73" s="24"/>
      <c r="J73" s="15"/>
    </row>
    <row r="74" spans="1:10" x14ac:dyDescent="0.35">
      <c r="A74" s="6"/>
      <c r="B74" s="6"/>
      <c r="C74" s="6">
        <v>0</v>
      </c>
      <c r="D74" s="2" t="s">
        <v>96</v>
      </c>
      <c r="E74" s="13">
        <v>2</v>
      </c>
      <c r="F74" s="2" t="s">
        <v>137</v>
      </c>
      <c r="G74" s="13" t="s">
        <v>187</v>
      </c>
      <c r="H74" s="7"/>
      <c r="I74" s="15"/>
      <c r="J74" s="15"/>
    </row>
    <row r="75" spans="1:10" x14ac:dyDescent="0.35">
      <c r="D75" s="2" t="s">
        <v>163</v>
      </c>
      <c r="E75" s="13">
        <v>3</v>
      </c>
      <c r="F75" s="2" t="s">
        <v>165</v>
      </c>
      <c r="G75" s="13">
        <v>1</v>
      </c>
      <c r="I75" s="23"/>
      <c r="J75" s="23"/>
    </row>
    <row r="76" spans="1:10" x14ac:dyDescent="0.35">
      <c r="D76" s="2" t="s">
        <v>578</v>
      </c>
      <c r="E76" s="13">
        <v>2</v>
      </c>
      <c r="F76" s="60" t="s">
        <v>166</v>
      </c>
      <c r="G76" s="28">
        <v>2</v>
      </c>
      <c r="I76" s="23"/>
      <c r="J76" s="23"/>
    </row>
    <row r="77" spans="1:10" x14ac:dyDescent="0.35">
      <c r="D77" s="2" t="s">
        <v>162</v>
      </c>
      <c r="E77" s="13">
        <v>2</v>
      </c>
      <c r="F77" s="29"/>
      <c r="G77" s="23"/>
      <c r="I77" s="23"/>
      <c r="J77" s="23"/>
    </row>
    <row r="78" spans="1:10" x14ac:dyDescent="0.35">
      <c r="D78" s="2" t="s">
        <v>170</v>
      </c>
      <c r="E78" s="13">
        <v>1</v>
      </c>
    </row>
    <row r="80" spans="1:10" x14ac:dyDescent="0.35">
      <c r="A80" s="166" t="s">
        <v>101</v>
      </c>
      <c r="B80" s="167"/>
      <c r="C80" s="167"/>
      <c r="D80" s="167"/>
      <c r="E80" s="167"/>
      <c r="F80" s="168"/>
    </row>
    <row r="81" spans="1:11" x14ac:dyDescent="0.35">
      <c r="A81" s="5" t="s">
        <v>10</v>
      </c>
      <c r="B81" s="5" t="s">
        <v>22</v>
      </c>
      <c r="C81" s="5" t="s">
        <v>24</v>
      </c>
      <c r="D81" s="5" t="s">
        <v>579</v>
      </c>
      <c r="E81" s="5" t="s">
        <v>62</v>
      </c>
      <c r="F81" s="5" t="s">
        <v>63</v>
      </c>
    </row>
    <row r="82" spans="1:11" x14ac:dyDescent="0.35">
      <c r="A82" s="2" t="s">
        <v>561</v>
      </c>
      <c r="B82" s="2" t="s">
        <v>279</v>
      </c>
      <c r="C82" s="1"/>
      <c r="D82" s="67">
        <v>13637.87</v>
      </c>
      <c r="E82" s="47"/>
      <c r="F82" s="1"/>
    </row>
    <row r="83" spans="1:11" x14ac:dyDescent="0.35">
      <c r="A83" s="2" t="s">
        <v>561</v>
      </c>
      <c r="B83" s="2" t="s">
        <v>280</v>
      </c>
      <c r="C83" s="26"/>
      <c r="D83" s="67">
        <v>13853.15</v>
      </c>
      <c r="E83" s="58"/>
      <c r="F83" s="26"/>
      <c r="H83" s="180"/>
      <c r="I83" s="180"/>
      <c r="J83" s="180"/>
      <c r="K83" s="180"/>
    </row>
    <row r="84" spans="1:11" x14ac:dyDescent="0.35">
      <c r="A84" s="2" t="s">
        <v>561</v>
      </c>
      <c r="B84" s="2" t="s">
        <v>281</v>
      </c>
      <c r="C84" s="1"/>
      <c r="D84" s="67">
        <v>13853.15</v>
      </c>
      <c r="E84" s="47"/>
      <c r="F84" s="26"/>
      <c r="H84" s="42"/>
      <c r="I84" s="42"/>
      <c r="J84" s="178"/>
      <c r="K84" s="179"/>
    </row>
    <row r="85" spans="1:11" ht="15" customHeight="1" x14ac:dyDescent="0.35">
      <c r="A85" s="2" t="s">
        <v>561</v>
      </c>
      <c r="B85" s="2" t="s">
        <v>282</v>
      </c>
      <c r="C85" s="1"/>
      <c r="D85" s="67">
        <v>25887.200000000001</v>
      </c>
      <c r="E85" s="47"/>
      <c r="F85" s="1"/>
      <c r="H85" s="180"/>
      <c r="I85" s="180"/>
      <c r="J85" s="178"/>
      <c r="K85" s="179"/>
    </row>
    <row r="86" spans="1:11" x14ac:dyDescent="0.35">
      <c r="A86" s="2" t="s">
        <v>561</v>
      </c>
      <c r="B86" s="2" t="s">
        <v>287</v>
      </c>
      <c r="C86" s="26"/>
      <c r="D86" s="67">
        <v>25887.200000000001</v>
      </c>
      <c r="E86" s="58"/>
      <c r="F86" s="1"/>
      <c r="H86" s="42"/>
      <c r="I86" s="42"/>
      <c r="J86" s="43"/>
      <c r="K86" s="43"/>
    </row>
    <row r="87" spans="1:11" x14ac:dyDescent="0.35">
      <c r="A87" s="2" t="s">
        <v>561</v>
      </c>
      <c r="B87" s="2" t="s">
        <v>288</v>
      </c>
      <c r="C87" s="1"/>
      <c r="D87" s="67">
        <v>25499.7</v>
      </c>
      <c r="E87" s="47"/>
      <c r="F87" s="1"/>
      <c r="G87" s="9"/>
      <c r="H87" s="44"/>
      <c r="I87" s="44"/>
      <c r="J87" s="45"/>
      <c r="K87" s="45"/>
    </row>
    <row r="88" spans="1:11" x14ac:dyDescent="0.35">
      <c r="A88" s="2" t="s">
        <v>561</v>
      </c>
      <c r="B88" s="2" t="s">
        <v>289</v>
      </c>
      <c r="C88" s="1"/>
      <c r="D88" s="67">
        <v>25499.7</v>
      </c>
      <c r="E88" s="47"/>
      <c r="F88" s="1"/>
      <c r="G88" s="9"/>
      <c r="H88" s="44"/>
      <c r="I88" s="44"/>
      <c r="J88" s="45"/>
      <c r="K88" s="45"/>
    </row>
    <row r="89" spans="1:11" x14ac:dyDescent="0.35">
      <c r="A89" s="2" t="s">
        <v>561</v>
      </c>
      <c r="B89" s="2" t="s">
        <v>290</v>
      </c>
      <c r="C89" s="1"/>
      <c r="D89" s="67">
        <v>25499.7</v>
      </c>
      <c r="E89" s="47"/>
      <c r="F89" s="1"/>
      <c r="G89" s="9"/>
      <c r="H89" s="44"/>
      <c r="I89" s="44"/>
      <c r="J89" s="45"/>
      <c r="K89" s="45"/>
    </row>
    <row r="90" spans="1:11" x14ac:dyDescent="0.35">
      <c r="A90" s="2" t="s">
        <v>561</v>
      </c>
      <c r="B90" s="2" t="s">
        <v>291</v>
      </c>
      <c r="C90" s="1"/>
      <c r="D90" s="67">
        <v>25499.7</v>
      </c>
      <c r="E90" s="47"/>
      <c r="F90" s="1"/>
      <c r="G90" s="9"/>
      <c r="H90" s="44"/>
      <c r="I90" s="44"/>
      <c r="J90" s="45"/>
      <c r="K90" s="45"/>
    </row>
    <row r="91" spans="1:11" x14ac:dyDescent="0.35">
      <c r="A91" s="2" t="s">
        <v>561</v>
      </c>
      <c r="B91" s="2" t="s">
        <v>403</v>
      </c>
      <c r="C91" s="1"/>
      <c r="D91" s="132">
        <v>25499.7</v>
      </c>
      <c r="E91" s="58"/>
      <c r="F91" s="47"/>
      <c r="G91" s="9"/>
      <c r="H91" s="44"/>
      <c r="I91" s="44"/>
      <c r="J91" s="45"/>
      <c r="K91" s="45"/>
    </row>
    <row r="92" spans="1:11" x14ac:dyDescent="0.35">
      <c r="A92" s="2"/>
      <c r="B92" s="2"/>
      <c r="C92" s="1"/>
      <c r="D92" s="47"/>
      <c r="E92" s="58"/>
      <c r="F92" s="58"/>
      <c r="G92" s="9"/>
      <c r="H92" s="44"/>
      <c r="I92" s="44"/>
      <c r="J92" s="45"/>
      <c r="K92" s="45"/>
    </row>
    <row r="94" spans="1:11" x14ac:dyDescent="0.35">
      <c r="A94" s="155" t="s">
        <v>108</v>
      </c>
      <c r="B94" s="155"/>
      <c r="C94" s="155"/>
      <c r="D94" s="155"/>
      <c r="E94" s="155"/>
      <c r="F94" s="155"/>
    </row>
    <row r="96" spans="1:11" x14ac:dyDescent="0.35">
      <c r="A96" s="156" t="s">
        <v>100</v>
      </c>
      <c r="B96" s="156"/>
      <c r="C96" s="156"/>
      <c r="D96" s="156"/>
      <c r="E96" s="156"/>
      <c r="F96" s="156"/>
      <c r="G96" s="156"/>
      <c r="H96" s="156"/>
      <c r="I96" s="156"/>
      <c r="J96" s="156"/>
    </row>
    <row r="97" spans="1:14" x14ac:dyDescent="0.35">
      <c r="A97" s="5" t="s">
        <v>51</v>
      </c>
      <c r="B97" s="5" t="s">
        <v>52</v>
      </c>
      <c r="C97" s="5" t="s">
        <v>53</v>
      </c>
      <c r="D97" s="5" t="s">
        <v>54</v>
      </c>
      <c r="E97" s="5" t="s">
        <v>55</v>
      </c>
      <c r="F97" s="5" t="s">
        <v>56</v>
      </c>
      <c r="G97" s="5" t="s">
        <v>57</v>
      </c>
      <c r="H97" s="5" t="s">
        <v>58</v>
      </c>
      <c r="I97" s="5" t="s">
        <v>59</v>
      </c>
      <c r="J97" s="5" t="s">
        <v>60</v>
      </c>
    </row>
    <row r="98" spans="1:14" x14ac:dyDescent="0.35">
      <c r="A98" s="6" t="s">
        <v>323</v>
      </c>
      <c r="B98" s="6" t="s">
        <v>323</v>
      </c>
      <c r="C98" s="13" t="s">
        <v>187</v>
      </c>
      <c r="D98" s="13" t="s">
        <v>187</v>
      </c>
      <c r="E98" s="28">
        <v>2000</v>
      </c>
      <c r="F98" s="28"/>
      <c r="G98" s="28">
        <f>E98+F98</f>
        <v>2000</v>
      </c>
      <c r="H98" s="28">
        <v>200</v>
      </c>
      <c r="I98" s="28"/>
      <c r="J98" s="28">
        <v>0</v>
      </c>
    </row>
    <row r="99" spans="1:14" x14ac:dyDescent="0.35">
      <c r="N99" s="42"/>
    </row>
    <row r="100" spans="1:14" x14ac:dyDescent="0.35">
      <c r="A100" s="156" t="s">
        <v>102</v>
      </c>
      <c r="B100" s="156"/>
      <c r="C100" s="156"/>
      <c r="D100" s="156"/>
      <c r="N100" s="42"/>
    </row>
    <row r="101" spans="1:14" x14ac:dyDescent="0.35">
      <c r="A101" s="5" t="s">
        <v>68</v>
      </c>
      <c r="B101" s="5" t="s">
        <v>69</v>
      </c>
      <c r="C101" s="5" t="s">
        <v>70</v>
      </c>
      <c r="D101" s="5" t="s">
        <v>71</v>
      </c>
      <c r="N101" s="42"/>
    </row>
    <row r="102" spans="1:14" x14ac:dyDescent="0.35">
      <c r="A102" s="6" t="s">
        <v>178</v>
      </c>
      <c r="B102" s="13"/>
      <c r="C102" s="2" t="s">
        <v>279</v>
      </c>
      <c r="D102" s="6" t="s">
        <v>380</v>
      </c>
      <c r="N102" s="42"/>
    </row>
    <row r="103" spans="1:14" x14ac:dyDescent="0.35">
      <c r="A103" s="6" t="s">
        <v>178</v>
      </c>
      <c r="B103" s="13"/>
      <c r="C103" s="2" t="s">
        <v>280</v>
      </c>
      <c r="D103" s="6" t="s">
        <v>380</v>
      </c>
      <c r="N103" s="42"/>
    </row>
    <row r="104" spans="1:14" x14ac:dyDescent="0.35">
      <c r="A104" s="6" t="s">
        <v>178</v>
      </c>
      <c r="B104" s="13"/>
      <c r="C104" s="2" t="s">
        <v>281</v>
      </c>
      <c r="D104" s="6" t="s">
        <v>380</v>
      </c>
      <c r="N104" s="42"/>
    </row>
    <row r="105" spans="1:14" x14ac:dyDescent="0.35">
      <c r="A105" s="6" t="s">
        <v>178</v>
      </c>
      <c r="B105" s="13"/>
      <c r="C105" s="2" t="s">
        <v>282</v>
      </c>
      <c r="D105" s="6" t="s">
        <v>380</v>
      </c>
      <c r="N105" s="42"/>
    </row>
    <row r="106" spans="1:14" x14ac:dyDescent="0.35">
      <c r="A106" s="6" t="s">
        <v>178</v>
      </c>
      <c r="B106" s="6"/>
      <c r="C106" s="2" t="s">
        <v>287</v>
      </c>
      <c r="D106" s="6" t="s">
        <v>380</v>
      </c>
      <c r="N106" s="42"/>
    </row>
    <row r="107" spans="1:14" x14ac:dyDescent="0.35">
      <c r="A107" s="6"/>
      <c r="B107" s="6"/>
      <c r="C107" s="6"/>
      <c r="D107" s="6"/>
      <c r="E107" s="6"/>
    </row>
    <row r="108" spans="1:14" x14ac:dyDescent="0.35">
      <c r="A108" s="5" t="s">
        <v>51</v>
      </c>
      <c r="B108" s="5" t="s">
        <v>64</v>
      </c>
      <c r="C108" s="5" t="s">
        <v>65</v>
      </c>
      <c r="D108" s="5" t="s">
        <v>66</v>
      </c>
      <c r="E108" s="5" t="s">
        <v>67</v>
      </c>
    </row>
    <row r="109" spans="1:14" x14ac:dyDescent="0.35">
      <c r="A109" s="14" t="s">
        <v>323</v>
      </c>
      <c r="B109" s="14" t="s">
        <v>542</v>
      </c>
      <c r="C109" s="56" t="s">
        <v>543</v>
      </c>
      <c r="D109" s="48">
        <v>9591840222</v>
      </c>
      <c r="E109" s="14" t="s">
        <v>544</v>
      </c>
      <c r="F109" s="42"/>
    </row>
    <row r="110" spans="1:14" x14ac:dyDescent="0.35">
      <c r="A110" s="14" t="s">
        <v>323</v>
      </c>
      <c r="B110" s="14" t="s">
        <v>545</v>
      </c>
      <c r="C110" s="55" t="s">
        <v>343</v>
      </c>
      <c r="D110" s="14" t="s">
        <v>546</v>
      </c>
      <c r="E110" s="14" t="s">
        <v>547</v>
      </c>
      <c r="F110" s="42"/>
    </row>
    <row r="111" spans="1:14" x14ac:dyDescent="0.35">
      <c r="A111" s="14"/>
      <c r="B111" s="14"/>
      <c r="C111" s="55"/>
      <c r="D111" s="48"/>
      <c r="E111" s="14"/>
    </row>
    <row r="112" spans="1:14" x14ac:dyDescent="0.35">
      <c r="A112" s="14"/>
      <c r="B112" s="14"/>
      <c r="C112" s="55"/>
      <c r="D112" s="48"/>
      <c r="E112" s="14"/>
    </row>
    <row r="115" spans="1:12" x14ac:dyDescent="0.35">
      <c r="A115" s="157" t="s">
        <v>99</v>
      </c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9"/>
    </row>
    <row r="116" spans="1:12" x14ac:dyDescent="0.35">
      <c r="A116" s="160"/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2"/>
    </row>
    <row r="117" spans="1:12" x14ac:dyDescent="0.35">
      <c r="A117" s="5" t="s">
        <v>39</v>
      </c>
      <c r="B117" s="5" t="s">
        <v>40</v>
      </c>
      <c r="C117" s="5" t="s">
        <v>41</v>
      </c>
      <c r="D117" s="5" t="s">
        <v>42</v>
      </c>
      <c r="E117" s="5" t="s">
        <v>43</v>
      </c>
      <c r="F117" s="5" t="s">
        <v>44</v>
      </c>
      <c r="G117" s="5" t="s">
        <v>45</v>
      </c>
      <c r="H117" s="5" t="s">
        <v>46</v>
      </c>
      <c r="I117" s="5" t="s">
        <v>47</v>
      </c>
      <c r="J117" s="5" t="s">
        <v>48</v>
      </c>
      <c r="K117" s="5" t="s">
        <v>49</v>
      </c>
      <c r="L117" s="5" t="s">
        <v>50</v>
      </c>
    </row>
    <row r="118" spans="1:12" x14ac:dyDescent="0.35">
      <c r="A118" s="6" t="s">
        <v>115</v>
      </c>
      <c r="B118" s="6" t="s">
        <v>344</v>
      </c>
      <c r="C118" s="6" t="s">
        <v>558</v>
      </c>
      <c r="D118" s="14"/>
      <c r="E118" s="14" t="s">
        <v>179</v>
      </c>
      <c r="F118" s="6" t="s">
        <v>226</v>
      </c>
      <c r="G118" s="6" t="s">
        <v>508</v>
      </c>
      <c r="H118" s="6" t="s">
        <v>509</v>
      </c>
      <c r="I118" s="6" t="s">
        <v>228</v>
      </c>
      <c r="J118" s="6"/>
      <c r="K118" s="7"/>
      <c r="L118" s="6" t="s">
        <v>139</v>
      </c>
    </row>
    <row r="119" spans="1:12" x14ac:dyDescent="0.35">
      <c r="A119" s="6"/>
      <c r="B119" s="6"/>
      <c r="C119" s="6"/>
      <c r="D119" s="14"/>
      <c r="E119" s="14" t="s">
        <v>180</v>
      </c>
      <c r="F119" s="6"/>
      <c r="G119" s="6"/>
      <c r="H119" s="6"/>
      <c r="I119" s="6"/>
      <c r="J119" s="6"/>
      <c r="K119" s="7"/>
      <c r="L119" s="6"/>
    </row>
    <row r="120" spans="1:12" x14ac:dyDescent="0.35">
      <c r="A120" s="6"/>
      <c r="B120" s="6"/>
      <c r="C120" s="6"/>
      <c r="D120" s="14"/>
      <c r="E120" s="14" t="s">
        <v>181</v>
      </c>
      <c r="F120" s="6"/>
      <c r="G120" s="6"/>
      <c r="H120" s="6"/>
      <c r="I120" s="6"/>
      <c r="J120" s="6"/>
      <c r="K120" s="7"/>
      <c r="L120" s="6"/>
    </row>
  </sheetData>
  <mergeCells count="17">
    <mergeCell ref="A94:F94"/>
    <mergeCell ref="A96:J96"/>
    <mergeCell ref="A100:D100"/>
    <mergeCell ref="A115:L116"/>
    <mergeCell ref="A58:D58"/>
    <mergeCell ref="A66:D66"/>
    <mergeCell ref="A80:F80"/>
    <mergeCell ref="H83:K83"/>
    <mergeCell ref="J84:J85"/>
    <mergeCell ref="K84:K85"/>
    <mergeCell ref="H85:I85"/>
    <mergeCell ref="A43:D43"/>
    <mergeCell ref="A1:L2"/>
    <mergeCell ref="A13:E13"/>
    <mergeCell ref="A26:L26"/>
    <mergeCell ref="A31:B31"/>
    <mergeCell ref="A37:B37"/>
  </mergeCells>
  <hyperlinks>
    <hyperlink ref="C110" r:id="rId1" xr:uid="{00000000-0004-0000-0C00-000000000000}"/>
    <hyperlink ref="C109" r:id="rId2" xr:uid="{00000000-0004-0000-0C00-000001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36"/>
  <sheetViews>
    <sheetView topLeftCell="C20" workbookViewId="0">
      <selection activeCell="K20" sqref="K20"/>
    </sheetView>
  </sheetViews>
  <sheetFormatPr defaultRowHeight="15" thickBottom="1" x14ac:dyDescent="0.4"/>
  <cols>
    <col min="2" max="2" width="20.81640625" customWidth="1"/>
    <col min="3" max="3" width="1.1796875" style="116" customWidth="1"/>
    <col min="4" max="4" width="19.453125" bestFit="1" customWidth="1"/>
    <col min="5" max="6" width="11" bestFit="1" customWidth="1"/>
    <col min="9" max="9" width="11.81640625" style="122" customWidth="1"/>
    <col min="10" max="10" width="19.54296875" customWidth="1"/>
    <col min="11" max="11" width="14.26953125" bestFit="1" customWidth="1"/>
    <col min="12" max="12" width="12.7265625" bestFit="1" customWidth="1"/>
  </cols>
  <sheetData>
    <row r="1" spans="1:19" ht="14.5" x14ac:dyDescent="0.35">
      <c r="B1" s="74"/>
      <c r="C1" s="93"/>
      <c r="D1" s="75"/>
      <c r="E1" s="75"/>
      <c r="F1" s="173" t="s">
        <v>706</v>
      </c>
      <c r="G1" s="173"/>
      <c r="H1" s="173"/>
      <c r="I1" s="94"/>
      <c r="J1" s="174" t="s">
        <v>707</v>
      </c>
      <c r="K1" s="174"/>
      <c r="L1" s="174"/>
      <c r="M1" s="174"/>
      <c r="N1" s="174"/>
      <c r="O1" s="174"/>
      <c r="P1" s="174"/>
      <c r="Q1" s="174"/>
      <c r="R1" s="174"/>
      <c r="S1" s="175"/>
    </row>
    <row r="2" spans="1:19" ht="58" x14ac:dyDescent="0.35">
      <c r="B2" s="95" t="s">
        <v>10</v>
      </c>
      <c r="C2" s="96"/>
      <c r="D2" s="96" t="s">
        <v>51</v>
      </c>
      <c r="E2" s="96" t="s">
        <v>22</v>
      </c>
      <c r="F2" s="97" t="s">
        <v>61</v>
      </c>
      <c r="G2" s="97" t="s">
        <v>62</v>
      </c>
      <c r="H2" s="97" t="s">
        <v>63</v>
      </c>
      <c r="I2" s="98"/>
      <c r="J2" s="99" t="s">
        <v>709</v>
      </c>
      <c r="K2" s="100" t="s">
        <v>710</v>
      </c>
      <c r="L2" s="100" t="s">
        <v>711</v>
      </c>
      <c r="M2" s="100" t="s">
        <v>712</v>
      </c>
      <c r="N2" s="100" t="s">
        <v>713</v>
      </c>
      <c r="O2" s="100" t="s">
        <v>714</v>
      </c>
      <c r="P2" s="100" t="s">
        <v>715</v>
      </c>
      <c r="Q2" s="100" t="s">
        <v>716</v>
      </c>
      <c r="R2" s="100" t="s">
        <v>717</v>
      </c>
      <c r="S2" s="124" t="s">
        <v>718</v>
      </c>
    </row>
    <row r="3" spans="1:19" s="62" customFormat="1" ht="14.5" x14ac:dyDescent="0.35">
      <c r="A3" s="101"/>
      <c r="B3" s="62" t="s">
        <v>761</v>
      </c>
      <c r="C3" s="102"/>
      <c r="D3" s="84" t="s">
        <v>323</v>
      </c>
      <c r="E3" s="125" t="s">
        <v>762</v>
      </c>
      <c r="F3" s="78"/>
      <c r="G3" s="126">
        <v>13637.87</v>
      </c>
      <c r="H3" s="126">
        <v>13637.87</v>
      </c>
      <c r="I3" s="98"/>
      <c r="J3" s="6"/>
      <c r="K3" s="118"/>
      <c r="L3" s="118"/>
      <c r="M3" s="84"/>
      <c r="N3" s="13"/>
      <c r="O3" s="118"/>
      <c r="P3" s="13"/>
      <c r="Q3" s="13"/>
      <c r="R3" s="13"/>
      <c r="S3" s="13"/>
    </row>
    <row r="4" spans="1:19" s="62" customFormat="1" ht="14.5" x14ac:dyDescent="0.35">
      <c r="A4" s="101"/>
      <c r="B4" s="62" t="s">
        <v>761</v>
      </c>
      <c r="C4" s="102"/>
      <c r="D4" s="84" t="s">
        <v>323</v>
      </c>
      <c r="E4" s="125" t="s">
        <v>763</v>
      </c>
      <c r="F4" s="104"/>
      <c r="G4" s="127">
        <v>13853.15</v>
      </c>
      <c r="H4" s="127">
        <v>13853.15</v>
      </c>
      <c r="I4" s="98"/>
      <c r="J4" s="38"/>
      <c r="K4" s="118"/>
      <c r="L4" s="118"/>
      <c r="M4" s="84"/>
      <c r="N4" s="84"/>
      <c r="O4" s="118"/>
      <c r="P4" s="84"/>
      <c r="Q4" s="84"/>
      <c r="R4" s="84"/>
      <c r="S4" s="13"/>
    </row>
    <row r="5" spans="1:19" s="62" customFormat="1" ht="14.5" x14ac:dyDescent="0.35">
      <c r="A5" s="101"/>
      <c r="B5" s="62" t="s">
        <v>761</v>
      </c>
      <c r="C5" s="102"/>
      <c r="D5" s="84" t="s">
        <v>323</v>
      </c>
      <c r="E5" s="125" t="s">
        <v>764</v>
      </c>
      <c r="F5" s="104"/>
      <c r="G5" s="127">
        <v>13853.15</v>
      </c>
      <c r="H5" s="127">
        <v>13853.15</v>
      </c>
      <c r="I5" s="98"/>
      <c r="J5" s="38"/>
      <c r="K5" s="118"/>
      <c r="L5" s="118"/>
      <c r="M5" s="84"/>
      <c r="N5" s="84"/>
      <c r="O5" s="118"/>
      <c r="P5" s="84"/>
      <c r="Q5" s="84"/>
      <c r="R5" s="84"/>
      <c r="S5" s="13"/>
    </row>
    <row r="6" spans="1:19" ht="14.5" x14ac:dyDescent="0.35">
      <c r="B6" s="62" t="s">
        <v>761</v>
      </c>
      <c r="C6" s="107"/>
      <c r="D6" s="84" t="s">
        <v>323</v>
      </c>
      <c r="E6" s="125" t="s">
        <v>765</v>
      </c>
      <c r="F6" s="108"/>
      <c r="G6" s="128">
        <v>25887</v>
      </c>
      <c r="H6" s="128">
        <v>25887</v>
      </c>
      <c r="I6" s="98"/>
      <c r="J6" s="129"/>
      <c r="K6" s="118"/>
      <c r="L6" s="118"/>
      <c r="M6" s="84"/>
      <c r="N6" s="123"/>
      <c r="O6" s="118"/>
      <c r="P6" s="123"/>
      <c r="Q6" s="123"/>
      <c r="R6" s="123"/>
      <c r="S6" s="13"/>
    </row>
    <row r="7" spans="1:19" ht="14.5" x14ac:dyDescent="0.35">
      <c r="B7" s="62" t="s">
        <v>761</v>
      </c>
      <c r="C7" s="102"/>
      <c r="D7" s="84" t="s">
        <v>323</v>
      </c>
      <c r="E7" s="125" t="s">
        <v>766</v>
      </c>
      <c r="F7" s="110"/>
      <c r="G7" s="128">
        <v>25887</v>
      </c>
      <c r="H7" s="128">
        <v>25887</v>
      </c>
      <c r="I7" s="98"/>
      <c r="J7" s="38"/>
      <c r="K7" s="118"/>
      <c r="L7" s="118"/>
      <c r="M7" s="84"/>
      <c r="N7" s="84"/>
      <c r="O7" s="118"/>
      <c r="P7" s="84"/>
      <c r="Q7" s="84"/>
      <c r="R7" s="84"/>
      <c r="S7" s="13"/>
    </row>
    <row r="8" spans="1:19" ht="14.5" x14ac:dyDescent="0.35">
      <c r="B8" s="62" t="s">
        <v>761</v>
      </c>
      <c r="C8" s="102"/>
      <c r="D8" s="84" t="s">
        <v>323</v>
      </c>
      <c r="E8" s="111" t="s">
        <v>726</v>
      </c>
      <c r="F8" s="112"/>
      <c r="G8" s="130">
        <v>29986</v>
      </c>
      <c r="H8" s="130">
        <v>29986</v>
      </c>
      <c r="I8" s="98"/>
      <c r="J8" s="38"/>
      <c r="K8" s="110"/>
      <c r="L8" s="110"/>
      <c r="M8" s="84"/>
      <c r="N8" s="84"/>
      <c r="O8" s="84"/>
      <c r="P8" s="84"/>
      <c r="Q8" s="84"/>
      <c r="R8" s="84"/>
      <c r="S8" s="110"/>
    </row>
    <row r="9" spans="1:19" ht="14.5" x14ac:dyDescent="0.35">
      <c r="B9" s="62" t="s">
        <v>761</v>
      </c>
      <c r="C9" s="102"/>
      <c r="D9" s="84" t="s">
        <v>323</v>
      </c>
      <c r="E9" s="84" t="s">
        <v>727</v>
      </c>
      <c r="F9" s="104"/>
      <c r="G9" s="130">
        <v>29986</v>
      </c>
      <c r="H9" s="130">
        <v>29986</v>
      </c>
      <c r="I9" s="98"/>
      <c r="J9" s="131"/>
      <c r="K9" s="112"/>
      <c r="L9" s="112"/>
      <c r="M9" s="111"/>
      <c r="N9" s="111"/>
      <c r="O9" s="111"/>
      <c r="P9" s="111"/>
      <c r="Q9" s="111"/>
      <c r="R9" s="111"/>
      <c r="S9" s="112"/>
    </row>
    <row r="10" spans="1:19" ht="14.5" x14ac:dyDescent="0.35">
      <c r="B10" s="62" t="s">
        <v>761</v>
      </c>
      <c r="D10" s="84" t="s">
        <v>323</v>
      </c>
      <c r="E10" s="84" t="s">
        <v>729</v>
      </c>
      <c r="F10" s="62"/>
      <c r="G10" s="130">
        <v>29986</v>
      </c>
      <c r="H10" s="130">
        <v>29986</v>
      </c>
      <c r="I10" s="98"/>
      <c r="J10" s="62"/>
      <c r="K10" s="62"/>
      <c r="L10" s="62"/>
      <c r="M10" s="62"/>
      <c r="N10" s="62"/>
      <c r="O10" s="62"/>
      <c r="P10" s="62"/>
      <c r="Q10" s="62"/>
      <c r="R10" s="62"/>
      <c r="S10" s="62"/>
    </row>
    <row r="11" spans="1:19" ht="14.5" x14ac:dyDescent="0.35">
      <c r="B11" s="62" t="s">
        <v>761</v>
      </c>
      <c r="D11" s="84" t="s">
        <v>323</v>
      </c>
      <c r="E11" s="84" t="s">
        <v>730</v>
      </c>
      <c r="F11" s="62"/>
      <c r="G11" s="130">
        <v>29986</v>
      </c>
      <c r="H11" s="130">
        <v>29986</v>
      </c>
      <c r="I11" s="98"/>
      <c r="J11" s="62"/>
      <c r="K11" s="62"/>
      <c r="L11" s="62"/>
      <c r="M11" s="62"/>
      <c r="N11" s="62"/>
      <c r="O11" s="62"/>
      <c r="P11" s="62"/>
      <c r="Q11" s="62"/>
      <c r="R11" s="62"/>
      <c r="S11" s="62"/>
    </row>
    <row r="12" spans="1:19" s="119" customFormat="1" ht="14.5" x14ac:dyDescent="0.35">
      <c r="B12" s="62" t="s">
        <v>761</v>
      </c>
      <c r="C12" s="121"/>
      <c r="D12" s="84" t="s">
        <v>323</v>
      </c>
      <c r="E12" s="84" t="s">
        <v>767</v>
      </c>
      <c r="F12" s="120"/>
      <c r="G12" s="130">
        <v>29986</v>
      </c>
      <c r="H12" s="130">
        <v>29986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</row>
    <row r="13" spans="1:19" ht="14.5" x14ac:dyDescent="0.35">
      <c r="I13" s="98"/>
    </row>
    <row r="14" spans="1:19" ht="14.5" x14ac:dyDescent="0.35">
      <c r="I14" s="98"/>
    </row>
    <row r="15" spans="1:19" ht="14.5" x14ac:dyDescent="0.35">
      <c r="I15" s="62"/>
      <c r="J15" s="62" t="s">
        <v>750</v>
      </c>
      <c r="K15" s="62"/>
      <c r="L15" s="62"/>
      <c r="M15" s="62"/>
      <c r="N15" s="62"/>
      <c r="O15" s="62"/>
      <c r="P15" s="62"/>
      <c r="Q15" s="62"/>
      <c r="R15" s="62"/>
      <c r="S15" s="62"/>
    </row>
    <row r="16" spans="1:19" ht="43.5" x14ac:dyDescent="0.35">
      <c r="I16" s="6" t="s">
        <v>51</v>
      </c>
      <c r="J16" s="79" t="s">
        <v>709</v>
      </c>
      <c r="K16" s="80" t="s">
        <v>710</v>
      </c>
      <c r="L16" s="80" t="s">
        <v>711</v>
      </c>
      <c r="M16" s="80" t="s">
        <v>712</v>
      </c>
      <c r="N16" s="80" t="s">
        <v>713</v>
      </c>
      <c r="O16" s="80" t="s">
        <v>714</v>
      </c>
      <c r="P16" s="80" t="s">
        <v>715</v>
      </c>
      <c r="Q16" s="80" t="s">
        <v>716</v>
      </c>
      <c r="R16" s="80" t="s">
        <v>717</v>
      </c>
      <c r="S16" s="80" t="s">
        <v>718</v>
      </c>
    </row>
    <row r="17" spans="9:19" ht="14.5" x14ac:dyDescent="0.35">
      <c r="I17" s="182" t="s">
        <v>323</v>
      </c>
      <c r="J17" s="6" t="s">
        <v>745</v>
      </c>
      <c r="K17" s="118">
        <v>19</v>
      </c>
      <c r="L17" s="118">
        <v>19</v>
      </c>
      <c r="M17" s="84">
        <v>0</v>
      </c>
      <c r="N17" s="13">
        <v>0</v>
      </c>
      <c r="O17" s="118">
        <v>19</v>
      </c>
      <c r="P17" s="13">
        <v>0</v>
      </c>
      <c r="Q17" s="13">
        <v>0</v>
      </c>
      <c r="R17" s="13">
        <v>0</v>
      </c>
      <c r="S17" s="13">
        <v>0</v>
      </c>
    </row>
    <row r="18" spans="9:19" ht="14.5" x14ac:dyDescent="0.35">
      <c r="I18" s="190"/>
      <c r="J18" s="38" t="s">
        <v>768</v>
      </c>
      <c r="K18" s="118">
        <v>27</v>
      </c>
      <c r="L18" s="118">
        <v>27</v>
      </c>
      <c r="M18" s="84">
        <v>0</v>
      </c>
      <c r="N18" s="84">
        <v>0</v>
      </c>
      <c r="O18" s="118">
        <v>27</v>
      </c>
      <c r="P18" s="84">
        <v>0</v>
      </c>
      <c r="Q18" s="84">
        <v>0</v>
      </c>
      <c r="R18" s="84">
        <v>0</v>
      </c>
      <c r="S18" s="13">
        <v>0</v>
      </c>
    </row>
    <row r="19" spans="9:19" ht="14.5" x14ac:dyDescent="0.35">
      <c r="I19" s="190"/>
      <c r="J19" s="38" t="s">
        <v>769</v>
      </c>
      <c r="K19" s="118">
        <v>29</v>
      </c>
      <c r="L19" s="118">
        <v>29</v>
      </c>
      <c r="M19" s="84">
        <v>0</v>
      </c>
      <c r="N19" s="84">
        <v>0</v>
      </c>
      <c r="O19" s="118">
        <v>29</v>
      </c>
      <c r="P19" s="84">
        <v>0</v>
      </c>
      <c r="Q19" s="84">
        <v>0</v>
      </c>
      <c r="R19" s="84">
        <v>0</v>
      </c>
      <c r="S19" s="13">
        <v>0</v>
      </c>
    </row>
    <row r="20" spans="9:19" ht="14.5" x14ac:dyDescent="0.35">
      <c r="I20" s="190"/>
      <c r="J20" s="129" t="s">
        <v>770</v>
      </c>
      <c r="K20" s="118">
        <v>84</v>
      </c>
      <c r="L20" s="118">
        <v>84</v>
      </c>
      <c r="M20" s="84">
        <v>0</v>
      </c>
      <c r="N20" s="123">
        <v>0</v>
      </c>
      <c r="O20" s="118">
        <v>84</v>
      </c>
      <c r="P20" s="123">
        <v>0</v>
      </c>
      <c r="Q20" s="123">
        <v>0</v>
      </c>
      <c r="R20" s="123">
        <v>0</v>
      </c>
      <c r="S20" s="13">
        <v>0</v>
      </c>
    </row>
    <row r="21" spans="9:19" ht="14.5" x14ac:dyDescent="0.35">
      <c r="I21" s="183"/>
      <c r="J21" s="38" t="s">
        <v>771</v>
      </c>
      <c r="K21" s="118">
        <v>28</v>
      </c>
      <c r="L21" s="118">
        <v>28</v>
      </c>
      <c r="M21" s="84">
        <v>0</v>
      </c>
      <c r="N21" s="84">
        <v>0</v>
      </c>
      <c r="O21" s="118">
        <v>28</v>
      </c>
      <c r="P21" s="84">
        <v>0</v>
      </c>
      <c r="Q21" s="84">
        <v>0</v>
      </c>
      <c r="R21" s="84">
        <v>0</v>
      </c>
      <c r="S21" s="13">
        <v>0</v>
      </c>
    </row>
    <row r="22" spans="9:19" ht="14.5" x14ac:dyDescent="0.35"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</row>
    <row r="23" spans="9:19" ht="14.5" x14ac:dyDescent="0.35"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</row>
    <row r="24" spans="9:19" ht="14.5" x14ac:dyDescent="0.35"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</row>
    <row r="25" spans="9:19" ht="14.5" x14ac:dyDescent="0.35">
      <c r="I25" s="98"/>
    </row>
    <row r="26" spans="9:19" ht="14.5" x14ac:dyDescent="0.35">
      <c r="I26" s="98"/>
    </row>
    <row r="27" spans="9:19" ht="14.5" x14ac:dyDescent="0.35">
      <c r="I27" s="98"/>
    </row>
    <row r="28" spans="9:19" ht="14.5" x14ac:dyDescent="0.35">
      <c r="I28" s="98"/>
    </row>
    <row r="29" spans="9:19" ht="14.5" x14ac:dyDescent="0.35">
      <c r="I29" s="98"/>
    </row>
    <row r="30" spans="9:19" ht="14.5" x14ac:dyDescent="0.35">
      <c r="I30" s="98"/>
    </row>
    <row r="31" spans="9:19" ht="14.5" x14ac:dyDescent="0.35">
      <c r="I31" s="98"/>
    </row>
    <row r="32" spans="9:19" ht="14.5" x14ac:dyDescent="0.35">
      <c r="I32" s="98"/>
    </row>
    <row r="33" spans="9:9" ht="14.5" x14ac:dyDescent="0.35">
      <c r="I33" s="98"/>
    </row>
    <row r="34" spans="9:9" ht="14.5" x14ac:dyDescent="0.35">
      <c r="I34" s="98"/>
    </row>
    <row r="35" spans="9:9" ht="14.5" x14ac:dyDescent="0.35">
      <c r="I35" s="98"/>
    </row>
    <row r="36" spans="9:9" thickBot="1" x14ac:dyDescent="0.4">
      <c r="I36" s="98"/>
    </row>
  </sheetData>
  <mergeCells count="3">
    <mergeCell ref="F1:H1"/>
    <mergeCell ref="J1:S1"/>
    <mergeCell ref="I17:I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Parin</vt:lpstr>
      <vt:lpstr>Laurel</vt:lpstr>
      <vt:lpstr>Laurel 1</vt:lpstr>
      <vt:lpstr>Tridib</vt:lpstr>
      <vt:lpstr>Crown</vt:lpstr>
      <vt:lpstr>Quay</vt:lpstr>
      <vt:lpstr>Lakeview</vt:lpstr>
      <vt:lpstr>Lakeview Car Park Details</vt:lpstr>
      <vt:lpstr>Lakeview Car park Summary</vt:lpstr>
      <vt:lpstr>Olympia</vt:lpstr>
      <vt:lpstr>Commerz-1</vt:lpstr>
      <vt:lpstr>Commerz 1 Parking Details</vt:lpstr>
      <vt:lpstr>Commerz-2</vt:lpstr>
      <vt:lpstr>Commerz 2 Parking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Prajwal Navada C</cp:lastModifiedBy>
  <dcterms:created xsi:type="dcterms:W3CDTF">2023-10-31T11:49:45Z</dcterms:created>
  <dcterms:modified xsi:type="dcterms:W3CDTF">2025-11-27T07:53:47Z</dcterms:modified>
</cp:coreProperties>
</file>